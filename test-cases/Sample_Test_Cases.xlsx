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/>
  <mc:AlternateContent xmlns:mc="http://schemas.openxmlformats.org/markup-compatibility/2006">
    <mc:Choice Requires="x15">
      <x15ac:absPath xmlns:x15ac="http://schemas.microsoft.com/office/spreadsheetml/2010/11/ac" url="https://d.docs.live.net/FB7F8EA46265AFCE/Documents/"/>
    </mc:Choice>
  </mc:AlternateContent>
  <xr:revisionPtr revIDLastSave="1" documentId="8_{B421E42D-9F4E-4AE7-971F-3B75A61C1C8F}" xr6:coauthVersionLast="47" xr6:coauthVersionMax="47" xr10:uidLastSave="{452E0F0F-084A-4F4E-9280-5E15F34A30E5}"/>
  <bookViews>
    <workbookView xWindow="-120" yWindow="-120" windowWidth="38640" windowHeight="21120" tabRatio="500" xr2:uid="{00000000-000D-0000-FFFF-FFFF00000000}"/>
  </bookViews>
  <sheets>
    <sheet name="Test Cases" sheetId="1" r:id="rId1"/>
    <sheet name="Summary Dashboard" sheetId="2" r:id="rId2"/>
    <sheet name="Defect Log" sheetId="3" r:id="rId3"/>
    <sheet name="Telemetry Validation" sheetId="4" r:id="rId4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1" i="2" l="1"/>
  <c r="F11" i="2"/>
  <c r="E11" i="2"/>
  <c r="H11" i="2" s="1"/>
  <c r="D11" i="2"/>
  <c r="C11" i="2"/>
  <c r="H10" i="2"/>
  <c r="G10" i="2"/>
  <c r="F10" i="2"/>
  <c r="E10" i="2"/>
  <c r="D10" i="2"/>
  <c r="C10" i="2"/>
  <c r="H9" i="2"/>
  <c r="G9" i="2"/>
  <c r="F9" i="2"/>
  <c r="E9" i="2"/>
  <c r="D9" i="2"/>
  <c r="C9" i="2"/>
  <c r="H8" i="2"/>
  <c r="G8" i="2"/>
  <c r="F8" i="2"/>
  <c r="E8" i="2"/>
  <c r="D8" i="2"/>
  <c r="C8" i="2"/>
  <c r="H7" i="2"/>
  <c r="G7" i="2"/>
  <c r="F7" i="2"/>
  <c r="E7" i="2"/>
  <c r="D7" i="2"/>
  <c r="C7" i="2"/>
  <c r="H6" i="2"/>
  <c r="G6" i="2"/>
  <c r="F6" i="2"/>
  <c r="E6" i="2"/>
  <c r="D6" i="2"/>
  <c r="C6" i="2"/>
  <c r="H5" i="2"/>
  <c r="G5" i="2"/>
  <c r="F5" i="2"/>
  <c r="E5" i="2"/>
  <c r="D5" i="2"/>
  <c r="C5" i="2"/>
</calcChain>
</file>

<file path=xl/sharedStrings.xml><?xml version="1.0" encoding="utf-8"?>
<sst xmlns="http://schemas.openxmlformats.org/spreadsheetml/2006/main" count="567" uniqueCount="331">
  <si>
    <t>Test Case Repository – Game Store &amp; Gifting System</t>
  </si>
  <si>
    <t>Prepared by: Jordan Kerry  |  Version: 1.0  |  April 2026</t>
  </si>
  <si>
    <t>Test ID</t>
  </si>
  <si>
    <t>Module</t>
  </si>
  <si>
    <t>Sub-Module</t>
  </si>
  <si>
    <t>Test Title</t>
  </si>
  <si>
    <t>Preconditions</t>
  </si>
  <si>
    <t>Test Steps</t>
  </si>
  <si>
    <t>Expected Result</t>
  </si>
  <si>
    <t>Priority</t>
  </si>
  <si>
    <t>Test Type</t>
  </si>
  <si>
    <t>Assumed Telemetry Events</t>
  </si>
  <si>
    <t>Status</t>
  </si>
  <si>
    <t>Notes / Defect Ref</t>
  </si>
  <si>
    <t>Payment Methods</t>
  </si>
  <si>
    <t>TC-PAY-001</t>
  </si>
  <si>
    <t>Credit/Debit Card</t>
  </si>
  <si>
    <t>Successful purchase with valid credit card</t>
  </si>
  <si>
    <t>Test account provisioned; sandbox payment gateway active; item in store</t>
  </si>
  <si>
    <t>1. Navigate to store
2. Select item
3. Choose credit card payment
4. Enter valid card details
5. Confirm purchase</t>
  </si>
  <si>
    <t>Purchase completes successfully; item delivered; balance updated; receipt shown</t>
  </si>
  <si>
    <t>Critical</t>
  </si>
  <si>
    <t>Functional</t>
  </si>
  <si>
    <t>purchase_initiated, payment_authorised, purchase_completed, entitlement_granted</t>
  </si>
  <si>
    <t>Pass</t>
  </si>
  <si>
    <t>TC-PAY-002</t>
  </si>
  <si>
    <t>Declined credit card handling</t>
  </si>
  <si>
    <t>Test account provisioned; sandbox configured to decline card</t>
  </si>
  <si>
    <t>1. Navigate to store
2. Select item
3. Enter card number set to decline
4. Confirm purchase</t>
  </si>
  <si>
    <t>Transaction declined; clear error message shown; no charge made; account balance unchanged</t>
  </si>
  <si>
    <t>Negative</t>
  </si>
  <si>
    <t>purchase_initiated, payment_declined</t>
  </si>
  <si>
    <t>Not Run</t>
  </si>
  <si>
    <t>TC-PAY-003</t>
  </si>
  <si>
    <t>Expired card handling</t>
  </si>
  <si>
    <t>Test account provisioned; expired card credentials available in sandbox</t>
  </si>
  <si>
    <t>1. Navigate to store
2. Select item
3. Enter expired card details
4. Attempt to confirm purchase</t>
  </si>
  <si>
    <t>System rejects card before processing; error message indicates card expiry; no charge</t>
  </si>
  <si>
    <t>High</t>
  </si>
  <si>
    <t>Fail</t>
  </si>
  <si>
    <t>TC-PAY-004</t>
  </si>
  <si>
    <t>Insufficient funds on debit card</t>
  </si>
  <si>
    <t>Sandbox card configured with balance below item price</t>
  </si>
  <si>
    <t>1. Navigate to store
2. Select item priced above card balance
3. Enter card details
4. Confirm purchase</t>
  </si>
  <si>
    <t>Transaction declined with insufficient funds message; no charge; balance unchanged</t>
  </si>
  <si>
    <t>TC-PAY-005</t>
  </si>
  <si>
    <t>Third-Party Providers</t>
  </si>
  <si>
    <t>Successful purchase via PayPal</t>
  </si>
  <si>
    <t>PayPal sandbox account linked; item in store</t>
  </si>
  <si>
    <t>1. Select item in store
2. Choose PayPal at checkout
3. Authenticate via PayPal sandbox
4. Confirm payment</t>
  </si>
  <si>
    <t>Payment processed; entitlement granted instantly; receipt confirmed</t>
  </si>
  <si>
    <t>Blocked</t>
  </si>
  <si>
    <t>TC-PAY-006</t>
  </si>
  <si>
    <t>Successful purchase via Alipay</t>
  </si>
  <si>
    <t>Alipay sandbox account configured; region-appropriate test account</t>
  </si>
  <si>
    <t>1. Select item in store
2. Choose Alipay at checkout
3. Authenticate via Alipay sandbox
4. Confirm payment</t>
  </si>
  <si>
    <t>Payment processed; entitlement granted; receipt shown; balance updated</t>
  </si>
  <si>
    <t>TC-PAY-007</t>
  </si>
  <si>
    <t>Platform Stores</t>
  </si>
  <si>
    <t>Purchase via iOS App Store flow</t>
  </si>
  <si>
    <t>iOS test build installed; sandbox Apple ID provisioned</t>
  </si>
  <si>
    <t>1. Open game on iOS
2. Navigate to store
3. Select item
4. Complete purchase via Apple Pay/App Store
5. Return to game</t>
  </si>
  <si>
    <t>iOS purchase confirmed; entitlement reflected in game client immediately</t>
  </si>
  <si>
    <t>Integration</t>
  </si>
  <si>
    <t>purchase_completed, entitlement_granted</t>
  </si>
  <si>
    <t>In Progress</t>
  </si>
  <si>
    <t>TC-PAY-008</t>
  </si>
  <si>
    <t>Purchase via Android Google Play flow</t>
  </si>
  <si>
    <t>Android test build installed; sandbox Google account provisioned</t>
  </si>
  <si>
    <t>1. Open game on Android
2. Navigate to store
3. Select item
4. Complete purchase via Google Play
5. Return to game</t>
  </si>
  <si>
    <t>Google Play purchase confirmed; entitlement reflected in game client immediately</t>
  </si>
  <si>
    <t>Gifting</t>
  </si>
  <si>
    <t>TC-GIFT-001</t>
  </si>
  <si>
    <t>Gift Purchase</t>
  </si>
  <si>
    <t>Send gift to eligible friend</t>
  </si>
  <si>
    <t>Sender and recipient are friends; recipient is eligible (no restrictions); item is giftable</t>
  </si>
  <si>
    <t>1. Navigate to store
2. Select giftable item
3. Select 'Send as Gift'
4. Choose eligible friend
5. Confirm and complete payment</t>
  </si>
  <si>
    <t>Gift purchased successfully; payment deducted from sender; recipient notified</t>
  </si>
  <si>
    <t>TC-GIFT-002</t>
  </si>
  <si>
    <t>Gift Delivery</t>
  </si>
  <si>
    <t>Validate gift delivery to recipient</t>
  </si>
  <si>
    <t>Gift has been sent by sender (TC-GIFT-001 passed)</t>
  </si>
  <si>
    <t>1. Log in as recipient
2. Check notifications/inbox
3. Accept or view gift</t>
  </si>
  <si>
    <t>Recipient receives pop-up or in-game notification; item appears in inventory immediately</t>
  </si>
  <si>
    <t>entitlement_granted</t>
  </si>
  <si>
    <t>TC-GIFT-003</t>
  </si>
  <si>
    <t>Gift Receipt</t>
  </si>
  <si>
    <t>Validate gift receipt and inventory update</t>
  </si>
  <si>
    <t>Gift delivered to recipient</t>
  </si>
  <si>
    <t>1. Log in as recipient
2. Navigate to inventory
3. Verify gifted item present</t>
  </si>
  <si>
    <t>Gifted item visible in inventory; no duplicate; item usable</t>
  </si>
  <si>
    <t>TC-GIFT-004</t>
  </si>
  <si>
    <t>Cooldown / Scam Prevention</t>
  </si>
  <si>
    <t>Gifting cooldown enforced between new accounts</t>
  </si>
  <si>
    <t>Sender account is newly created (within cooldown period); target is eligible friend</t>
  </si>
  <si>
    <t>1. Log in as new sender account
2. Attempt to send a gift
3. Observe system response</t>
  </si>
  <si>
    <t>System blocks gift with clear cooldown message; no charge made; cooldown timer shown</t>
  </si>
  <si>
    <t>purchase_initiated, purchase_failed</t>
  </si>
  <si>
    <t>TC-GIFT-005</t>
  </si>
  <si>
    <t>Gift to ineligible player (not a friend)</t>
  </si>
  <si>
    <t>Target player is not on sender's friends list</t>
  </si>
  <si>
    <t>1. Attempt to send gift
2. Search for non-friend player
3. Attempt to complete gift flow</t>
  </si>
  <si>
    <t>System prevents gift; error shown indicating player is not eligible to receive gifts</t>
  </si>
  <si>
    <t>TC-GIFT-006</t>
  </si>
  <si>
    <t>Gift to player with regional restriction</t>
  </si>
  <si>
    <t>Target player is in a region where gifting is restricted</t>
  </si>
  <si>
    <t>1. Attempt to send gift to player in restricted region
2. Confirm send</t>
  </si>
  <si>
    <t>Gift blocked; appropriate regional restriction message displayed; no charge</t>
  </si>
  <si>
    <t>Medium</t>
  </si>
  <si>
    <t>TC-GIFT-007</t>
  </si>
  <si>
    <t>Refunds</t>
  </si>
  <si>
    <t>Gifting refund/return scenario</t>
  </si>
  <si>
    <t>Gift was successfully sent; refund policy applicable</t>
  </si>
  <si>
    <t>1. Initiate refund request for gifted item
2. Follow refund flow
3. Confirm refund</t>
  </si>
  <si>
    <t>Refund processed correctly; sender balance restored; item removed from recipient inventory</t>
  </si>
  <si>
    <t>Currency</t>
  </si>
  <si>
    <t>TC-CUR-001</t>
  </si>
  <si>
    <t>Bundle Purchase</t>
  </si>
  <si>
    <t>Purchase smallest currency bundle</t>
  </si>
  <si>
    <t>Test account with valid payment method; currency store accessible</t>
  </si>
  <si>
    <t>1. Navigate to currency store
2. Select smallest bundle
3. Complete purchase</t>
  </si>
  <si>
    <t>Correct base currency amount credited; balance updated immediately</t>
  </si>
  <si>
    <t>purchase_initiated, payment_authorised, purchase_completed</t>
  </si>
  <si>
    <t>TC-CUR-002</t>
  </si>
  <si>
    <t>Purchase largest currency bundle</t>
  </si>
  <si>
    <t>1. Navigate to currency store
2. Select largest bundle
3. Complete purchase</t>
  </si>
  <si>
    <t>Correct base currency amount credited; balance updated; receipt shows correct amount</t>
  </si>
  <si>
    <t>TC-CUR-003</t>
  </si>
  <si>
    <t>Bonus Currency</t>
  </si>
  <si>
    <t>Validate bonus currency awarded on qualifying bundle</t>
  </si>
  <si>
    <t>Bundle with bonus offer active (e.g. 1000 + 150 bonus)</t>
  </si>
  <si>
    <t>1. Navigate to currency store
2. Select bonus-eligible bundle
3. Complete purchase
4. Check balance</t>
  </si>
  <si>
    <t>Base amount (1000) AND bonus (150) both credited; total balance = 1150</t>
  </si>
  <si>
    <t>purchase_completed</t>
  </si>
  <si>
    <t>TC-CUR-004</t>
  </si>
  <si>
    <t>Balance Updates</t>
  </si>
  <si>
    <t>Balance updates correctly after purchase</t>
  </si>
  <si>
    <t>Test account with known starting balance; valid payment method</t>
  </si>
  <si>
    <t>1. Note current balance
2. Purchase a currency bundle
3. Check new balance</t>
  </si>
  <si>
    <t>New balance = previous balance + purchased amount + any bonus; no delay in display</t>
  </si>
  <si>
    <t>TC-CUR-005</t>
  </si>
  <si>
    <t>Balance displayed correctly after spending currency</t>
  </si>
  <si>
    <t>Test account with sufficient balance</t>
  </si>
  <si>
    <t>1. Note current balance
2. Purchase item using virtual currency
3. Check updated balance</t>
  </si>
  <si>
    <t>Balance reduced by exact item cost; no rounding errors; UI reflects correctly</t>
  </si>
  <si>
    <t>TC-CUR-006</t>
  </si>
  <si>
    <t>Purchase all available currency bundles across tiers</t>
  </si>
  <si>
    <t>Test accounts provisioned for each bundle tier</t>
  </si>
  <si>
    <t>1. For each available bundle tier: purchase and validate credited amount</t>
  </si>
  <si>
    <t>Each bundle credits the exact advertised base + bonus amounts; no discrepancies</t>
  </si>
  <si>
    <t>Entitlements</t>
  </si>
  <si>
    <t>TC-ENT-001</t>
  </si>
  <si>
    <t>Single Item</t>
  </si>
  <si>
    <t>Purchase single cosmetic item (e.g. skin)</t>
  </si>
  <si>
    <t>Item available in store; test account with sufficient balance</t>
  </si>
  <si>
    <t>1. Navigate to store
2. Select single item (skin)
3. Complete purchase
4. Check inventory</t>
  </si>
  <si>
    <t>Exactly one (1) instance of item in inventory; item usable in-game; no duplicates</t>
  </si>
  <si>
    <t>TC-ENT-002</t>
  </si>
  <si>
    <t>Bundle Items</t>
  </si>
  <si>
    <t>Purchase bundle of 7 items</t>
  </si>
  <si>
    <t>Bundle available in store; test account with sufficient balance</t>
  </si>
  <si>
    <t>1. Navigate to store
2. Select item bundle
3. Complete purchase
4. Check inventory</t>
  </si>
  <si>
    <t>All 7 items granted; each item individually accessible; no items missing</t>
  </si>
  <si>
    <t>TC-ENT-003</t>
  </si>
  <si>
    <t>Delivery Time</t>
  </si>
  <si>
    <t>Entitlement delivery within acceptable time threshold</t>
  </si>
  <si>
    <t>Test account; item for purchase; stopwatch/timestamp tool ready</t>
  </si>
  <si>
    <t>1. Initiate purchase
2. Complete payment
3. Record time from payment confirmation to item appearing in inventory</t>
  </si>
  <si>
    <t>Item appears in inventory within 10 seconds of purchase confirmation; no manual refresh needed</t>
  </si>
  <si>
    <t>TC-ENT-004</t>
  </si>
  <si>
    <t>Duplicate Handling</t>
  </si>
  <si>
    <t>Prevent duplicate purchase of one-time bundle</t>
  </si>
  <si>
    <t>Test account that has already purchased the one-time bundle</t>
  </si>
  <si>
    <t>1. Navigate to store
2. Locate previously purchased one-time bundle
3. Attempt to purchase again</t>
  </si>
  <si>
    <t>Store prevents re-purchase; item greyed out or buy button disabled; clear 'already owned' message</t>
  </si>
  <si>
    <t>TC-ENT-005</t>
  </si>
  <si>
    <t>Cross-Platform Sync</t>
  </si>
  <si>
    <t>Entitlement purchased on iOS visible on desktop client</t>
  </si>
  <si>
    <t>Test account linked across iOS and desktop; item purchased on iOS</t>
  </si>
  <si>
    <t>1. Purchase item on iOS build
2. Log in to desktop game client with same account
3. Check inventory</t>
  </si>
  <si>
    <t>Item visible in desktop inventory without manual sync; no delay beyond reasonable login time</t>
  </si>
  <si>
    <t>TC-ENT-006</t>
  </si>
  <si>
    <t>Entitlement purchased on Android visible on desktop client</t>
  </si>
  <si>
    <t>Test account linked across Android and desktop; item purchased on Android</t>
  </si>
  <si>
    <t>1. Purchase item on Android build
2. Log in to desktop client
3. Check inventory</t>
  </si>
  <si>
    <t>Item visible in desktop inventory; account state consistent across platforms</t>
  </si>
  <si>
    <t>Failure Scenarios</t>
  </si>
  <si>
    <t>TC-FAIL-001</t>
  </si>
  <si>
    <t>Network</t>
  </si>
  <si>
    <t>Disconnect Wi-Fi mid-purchase</t>
  </si>
  <si>
    <t>Test device on Wi-Fi; purchase in progress</t>
  </si>
  <si>
    <t>1. Begin purchase flow
2. Reach payment confirmation step
3. Disable Wi-Fi
4. Observe response
5. Reconnect and check account state</t>
  </si>
  <si>
    <t>System handles gracefully; no double charge; purchase either rolls back cleanly or completes on reconnect; account state consistent</t>
  </si>
  <si>
    <t>purchase_failed</t>
  </si>
  <si>
    <t>TC-FAIL-002</t>
  </si>
  <si>
    <t>Timeout during payment processing</t>
  </si>
  <si>
    <t>Test account at payment card info screen</t>
  </si>
  <si>
    <t>1. Enter card details
2. Leave on card entry screen for 30+ minutes
3. Attempt to confirm</t>
  </si>
  <si>
    <t>Session times out gracefully; clear timeout message; no charge made; player can retry</t>
  </si>
  <si>
    <t>TC-FAIL-003</t>
  </si>
  <si>
    <t>Fulfilment</t>
  </si>
  <si>
    <t>Payment succeeds but entitlement fails to deliver</t>
  </si>
  <si>
    <t>Simulated entitlement failure (mocked via test environment)</t>
  </si>
  <si>
    <t>1. Complete payment successfully
2. Simulate entitlement service failure
3. Observe player experience and backend logs</t>
  </si>
  <si>
    <t>Player shown error message; telemetry logs entitlement_failed; no item delivered; retry mechanism triggered or support contact offered</t>
  </si>
  <si>
    <t>payment_authorised, purchase_completed, entitlement_failed</t>
  </si>
  <si>
    <t>TC-FAIL-004</t>
  </si>
  <si>
    <t>UI</t>
  </si>
  <si>
    <t>UI does not reflect updated balance after purchase</t>
  </si>
  <si>
    <t>Test account purchases 1000+150 bonus currency</t>
  </si>
  <si>
    <t>1. Note current balance
2. Purchase currency bundle
3. Observe UI immediately after receipt</t>
  </si>
  <si>
    <t>UI updates to correct balance without manual refresh; if UI shows 0 or old value, this is a failure</t>
  </si>
  <si>
    <t>TC-FAIL-005</t>
  </si>
  <si>
    <t>Retry</t>
  </si>
  <si>
    <t>Retry purchase immediately after failure</t>
  </si>
  <si>
    <t>Previous purchase attempt has failed (no charge)</t>
  </si>
  <si>
    <t>1. Experience a failed purchase
2. Immediately attempt same purchase again without leaving store</t>
  </si>
  <si>
    <t>Retry is allowed; no cooldown preventing re-attempt; second attempt can succeed with valid details</t>
  </si>
  <si>
    <t>TC-FAIL-006</t>
  </si>
  <si>
    <t>Gifting Edge Cases</t>
  </si>
  <si>
    <t>Attempt to gift ineligible player (region restriction)</t>
  </si>
  <si>
    <t>Target player in restricted region identified</t>
  </si>
  <si>
    <t>1. Initiate gift flow
2. Search for restricted region player
3. Attempt to confirm gift</t>
  </si>
  <si>
    <t>Gift blocked with clear reason; no charge to sender; no entitlement triggered</t>
  </si>
  <si>
    <t>Telemetry</t>
  </si>
  <si>
    <t>TC-TEL-001</t>
  </si>
  <si>
    <t>Event Firing</t>
  </si>
  <si>
    <t>purchase_initiated fires on checkout start</t>
  </si>
  <si>
    <t>Telemetry dashboard or Datadog log consumer active; test account ready</t>
  </si>
  <si>
    <t>1. Open store
2. Select item and begin checkout
3. Monitor telemetry logs</t>
  </si>
  <si>
    <t>purchase_initiated event logged with correct player ID, item ID, timestamp and session data</t>
  </si>
  <si>
    <t>purchase_initiated</t>
  </si>
  <si>
    <t>TC-TEL-002</t>
  </si>
  <si>
    <t>payment_authorised fires on successful auth</t>
  </si>
  <si>
    <t>Telemetry monitoring active; valid payment method ready</t>
  </si>
  <si>
    <t>1. Complete payment with valid card
2. Monitor telemetry immediately post-payment</t>
  </si>
  <si>
    <t>payment_authorised event logged with correct transaction ID and player reference</t>
  </si>
  <si>
    <t>payment_authorised</t>
  </si>
  <si>
    <t>TC-TEL-003</t>
  </si>
  <si>
    <t>payment_declined fires on card decline</t>
  </si>
  <si>
    <t>Telemetry monitoring active; sandbox card set to decline</t>
  </si>
  <si>
    <t>1. Attempt purchase with declining card
2. Monitor telemetry</t>
  </si>
  <si>
    <t>payment_declined event logged; no purchase_completed event fired</t>
  </si>
  <si>
    <t>payment_declined</t>
  </si>
  <si>
    <t>TC-TEL-004</t>
  </si>
  <si>
    <t>purchase_completed fires on full success</t>
  </si>
  <si>
    <t>Telemetry monitoring active; successful purchase flow</t>
  </si>
  <si>
    <t>1. Complete a full successful purchase
2. Monitor telemetry logs</t>
  </si>
  <si>
    <t>purchase_completed event logged after payment_authorised; contains item, player, and transaction data</t>
  </si>
  <si>
    <t>TC-TEL-005</t>
  </si>
  <si>
    <t>purchase_failed fires on failed transaction</t>
  </si>
  <si>
    <t>Telemetry monitoring active; failure scenario set up</t>
  </si>
  <si>
    <t>1. Trigger a purchase failure (network drop or card decline)
2. Monitor telemetry</t>
  </si>
  <si>
    <t>purchase_failed event logged; no purchase_completed or entitlement_granted events follow</t>
  </si>
  <si>
    <t>TC-TEL-006</t>
  </si>
  <si>
    <t>receipt_validated fires after payment</t>
  </si>
  <si>
    <t>Telemetry monitoring active; successful purchase in progress</t>
  </si>
  <si>
    <t>1. Complete successful purchase
2. Monitor for receipt_validated event in logs</t>
  </si>
  <si>
    <t>receipt_validated event fires after purchase_completed; receipt data matches transaction</t>
  </si>
  <si>
    <t>receipt_validated</t>
  </si>
  <si>
    <t>TC-TEL-007</t>
  </si>
  <si>
    <t>entitlement_granted fires on successful delivery</t>
  </si>
  <si>
    <t>Telemetry monitoring active; successful purchase</t>
  </si>
  <si>
    <t>1. Complete purchase
2. Monitor for entitlement_granted event</t>
  </si>
  <si>
    <t>entitlement_granted event fires; includes correct item ID and player ID</t>
  </si>
  <si>
    <t>TC-TEL-008</t>
  </si>
  <si>
    <t>entitlement_failed fires on delivery failure</t>
  </si>
  <si>
    <t>Telemetry monitoring active; entitlement service mocked to fail</t>
  </si>
  <si>
    <t>1. Complete payment
2. Simulate entitlement failure
3. Monitor telemetry</t>
  </si>
  <si>
    <t>entitlement_failed event fires; no entitlement_granted event; player notified of failure</t>
  </si>
  <si>
    <t>entitlement_failed</t>
  </si>
  <si>
    <t>TC-TEL-009</t>
  </si>
  <si>
    <t>entitlement_revoked fires on revocation</t>
  </si>
  <si>
    <t>Telemetry monitoring active; admin tooling available to revoke entitlement</t>
  </si>
  <si>
    <t>1. Grant entitlement
2. Revoke via admin tools
3. Monitor telemetry</t>
  </si>
  <si>
    <t>entitlement_revoked event fires; item removed from player inventory; logged with reason</t>
  </si>
  <si>
    <t>entitlement_revoked</t>
  </si>
  <si>
    <t>TC-TEL-010</t>
  </si>
  <si>
    <t>Event Integrity</t>
  </si>
  <si>
    <t>No duplicate telemetry events fired for single transaction</t>
  </si>
  <si>
    <t>Telemetry dashboard active; standard successful purchase</t>
  </si>
  <si>
    <t>1. Perform one purchase
2. Inspect telemetry for each event type</t>
  </si>
  <si>
    <t>Each event fires exactly once per transaction; no duplicates in logs</t>
  </si>
  <si>
    <t>All events</t>
  </si>
  <si>
    <t>TC-TEL-011</t>
  </si>
  <si>
    <t>Telemetry events contain required fields for fraud detection</t>
  </si>
  <si>
    <t>Telemetry dashboard active; successful and failed purchases</t>
  </si>
  <si>
    <t>1. Perform purchases (success and failure)
2. Inspect event payloads in Datadog
3. Validate required fields present</t>
  </si>
  <si>
    <t>All events include: player_id, session_id, transaction_id, timestamp, item_id, region, platform</t>
  </si>
  <si>
    <t>Test Execution Summary</t>
  </si>
  <si>
    <t>Status counts update automatically when the Status column in the Test Cases sheet is updated.</t>
  </si>
  <si>
    <t>Total TCs</t>
  </si>
  <si>
    <t>Pass Rate</t>
  </si>
  <si>
    <t>TOTAL</t>
  </si>
  <si>
    <t>Defect Log</t>
  </si>
  <si>
    <t>Defect ID</t>
  </si>
  <si>
    <t>Related TC</t>
  </si>
  <si>
    <t>Title / Summary</t>
  </si>
  <si>
    <t>Severity</t>
  </si>
  <si>
    <t>Steps to Reproduce</t>
  </si>
  <si>
    <t>Expected</t>
  </si>
  <si>
    <t>Actual</t>
  </si>
  <si>
    <t>JIRA Ref</t>
  </si>
  <si>
    <t>Telemetry Event Validation Log</t>
  </si>
  <si>
    <t>Event Name</t>
  </si>
  <si>
    <t>Trigger Scenario</t>
  </si>
  <si>
    <t>Required Fields</t>
  </si>
  <si>
    <t>Fired?</t>
  </si>
  <si>
    <t>Payload Valid?</t>
  </si>
  <si>
    <t>Duplicate Check</t>
  </si>
  <si>
    <t>Timestamp</t>
  </si>
  <si>
    <t>Datadog Ref</t>
  </si>
  <si>
    <t>Notes</t>
  </si>
  <si>
    <t>Player begins checkout</t>
  </si>
  <si>
    <t>player_id, session_id, item_id, timestamp, region, platform</t>
  </si>
  <si>
    <t>Payment successfully authenticated</t>
  </si>
  <si>
    <t>player_id, transaction_id, payment_method, amount, currency, timestamp</t>
  </si>
  <si>
    <t>Payment rejected by provider</t>
  </si>
  <si>
    <t>player_id, transaction_id, decline_reason, timestamp</t>
  </si>
  <si>
    <t>Full purchase flow successful</t>
  </si>
  <si>
    <t>player_id, transaction_id, item_id, amount, timestamp</t>
  </si>
  <si>
    <t>Purchase unsuccessful (any reason)</t>
  </si>
  <si>
    <t>player_id, transaction_id, failure_reason, timestamp</t>
  </si>
  <si>
    <t>Receipt confirmed post-payment</t>
  </si>
  <si>
    <t>player_id, transaction_id, receipt_id, timestamp</t>
  </si>
  <si>
    <t>Item delivered to player inventory</t>
  </si>
  <si>
    <t>player_id, item_id, transaction_id, delivery_time_ms, timestamp</t>
  </si>
  <si>
    <t>Item failed to deliver post-payment</t>
  </si>
  <si>
    <t>player_id, item_id, transaction_id, failure_reason, timestamp</t>
  </si>
  <si>
    <t>Item removed from player inventory</t>
  </si>
  <si>
    <t>player_id, item_id, revocation_reason, revoked_by, timestamp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</si>
</sst>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charset val="1"/>
    </font>
    <font>
      <b/>
      <sz val="13"/>
      <color rgb="FF1F4E79"/>
      <name val="Calibri"/>
      <charset val="1"/>
    </font>
    <font>
      <sz val="10"/>
      <color rgb="FF595959"/>
      <name val="Calibri"/>
      <charset val="1"/>
    </font>
    <font>
      <sz val="8"/>
      <color rgb="FF8D99AE"/>
      <name val="Arial"/>
      <charset val="1"/>
    </font>
    <font>
      <b/>
      <sz val="10"/>
      <color rgb="FFFFFFFF"/>
      <name val="Calibri"/>
      <charset val="1"/>
    </font>
    <font>
      <b/>
      <sz val="10"/>
      <color rgb="FF244F7A"/>
      <name val="Calibri"/>
      <charset val="1"/>
    </font>
    <font>
      <b/>
      <sz val="10"/>
      <color rgb="FF2E75B6"/>
      <name val="Calibri"/>
      <charset val="1"/>
    </font>
    <font>
      <sz val="10"/>
      <color rgb="FF000000"/>
      <name val="Calibri"/>
      <charset val="1"/>
    </font>
    <font>
      <b/>
      <sz val="10"/>
      <color rgb="FFC00000"/>
      <name val="Calibri"/>
      <charset val="1"/>
    </font>
    <font>
      <b/>
      <sz val="10"/>
      <color rgb="FFE26B0A"/>
      <name val="Calibri"/>
      <charset val="1"/>
    </font>
    <font>
      <b/>
      <sz val="10"/>
      <color rgb="FF375623"/>
      <name val="Calibri"/>
      <charset val="1"/>
    </font>
    <font>
      <b/>
      <sz val="10"/>
      <color rgb="FFBF8F00"/>
      <name val="Calibri"/>
      <charset val="1"/>
    </font>
    <font>
      <b/>
      <sz val="10"/>
      <color rgb="FF7F6000"/>
      <name val="Calibri"/>
      <charset val="1"/>
    </font>
    <font>
      <b/>
      <sz val="10"/>
      <color rgb="FF6B2D4E"/>
      <name val="Calibri"/>
      <charset val="1"/>
    </font>
    <font>
      <b/>
      <sz val="10"/>
      <color rgb="FF843C0C"/>
      <name val="Calibri"/>
      <charset val="1"/>
    </font>
    <font>
      <b/>
      <sz val="10"/>
      <color rgb="FF1F4E79"/>
      <name val="Calibri"/>
      <charset val="1"/>
    </font>
    <font>
      <b/>
      <sz val="10"/>
      <color rgb="FF000000"/>
      <name val="Calibri"/>
      <charset val="1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EBF5FB"/>
      </patternFill>
    </fill>
    <fill>
      <patternFill patternType="solid">
        <fgColor rgb="FF2E75B6"/>
        <bgColor rgb="FF008080"/>
      </patternFill>
    </fill>
    <fill>
      <patternFill patternType="solid">
        <fgColor rgb="FFD6E4F0"/>
        <bgColor rgb="FFDDEBF7"/>
      </patternFill>
    </fill>
    <fill>
      <patternFill patternType="solid">
        <fgColor rgb="FFEBF5FB"/>
        <bgColor rgb="FFDDEBF7"/>
      </patternFill>
    </fill>
    <fill>
      <patternFill patternType="solid">
        <fgColor rgb="FFE2EFDA"/>
        <bgColor rgb="FFDDEBF7"/>
      </patternFill>
    </fill>
    <fill>
      <patternFill patternType="solid">
        <fgColor rgb="FFFFF2CC"/>
        <bgColor rgb="FFFCE4D6"/>
      </patternFill>
    </fill>
    <fill>
      <patternFill patternType="solid">
        <fgColor rgb="FFEAD1D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DDEBF7"/>
        <bgColor rgb="FFD6E4F0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top" wrapText="1"/>
    </xf>
    <xf numFmtId="0" fontId="8" fillId="5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top" wrapText="1"/>
    </xf>
    <xf numFmtId="0" fontId="8" fillId="2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left" vertical="top"/>
    </xf>
    <xf numFmtId="0" fontId="7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9" fontId="16" fillId="2" borderId="1" xfId="0" applyNumberFormat="1" applyFont="1" applyFill="1" applyBorder="1" applyAlignment="1">
      <alignment horizontal="center" vertical="center"/>
    </xf>
    <xf numFmtId="0" fontId="16" fillId="5" borderId="1" xfId="0" applyFont="1" applyFill="1" applyBorder="1" applyAlignment="1">
      <alignment horizontal="left" vertical="top"/>
    </xf>
    <xf numFmtId="0" fontId="7" fillId="5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9" fontId="16" fillId="5" borderId="1" xfId="0" applyNumberFormat="1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top" wrapText="1"/>
    </xf>
    <xf numFmtId="0" fontId="7" fillId="2" borderId="1" xfId="0" applyFont="1" applyFill="1" applyBorder="1" applyAlignment="1">
      <alignment horizontal="center" vertical="top" wrapText="1"/>
    </xf>
    <xf numFmtId="0" fontId="16" fillId="5" borderId="1" xfId="0" applyFont="1" applyFill="1" applyBorder="1" applyAlignment="1">
      <alignment horizontal="left" vertical="top" wrapText="1"/>
    </xf>
    <xf numFmtId="0" fontId="16" fillId="2" borderId="1" xfId="0" applyFont="1" applyFill="1" applyBorder="1" applyAlignment="1">
      <alignment horizontal="left" vertical="top" wrapText="1"/>
    </xf>
    <xf numFmtId="0" fontId="15" fillId="10" borderId="2" xfId="0" applyFont="1" applyFill="1" applyBorder="1" applyAlignment="1">
      <alignment horizontal="left" vertical="center"/>
    </xf>
    <xf numFmtId="0" fontId="0" fillId="0" borderId="2" xfId="0" applyBorder="1"/>
    <xf numFmtId="0" fontId="4" fillId="3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left" vertical="center"/>
    </xf>
    <xf numFmtId="0" fontId="6" fillId="5" borderId="2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left" vertical="top"/>
    </xf>
    <xf numFmtId="0" fontId="7" fillId="5" borderId="2" xfId="0" applyFont="1" applyFill="1" applyBorder="1" applyAlignment="1">
      <alignment horizontal="left" vertical="top" wrapText="1"/>
    </xf>
    <xf numFmtId="0" fontId="8" fillId="5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left" vertical="top"/>
    </xf>
    <xf numFmtId="0" fontId="7" fillId="2" borderId="2" xfId="0" applyFont="1" applyFill="1" applyBorder="1" applyAlignment="1">
      <alignment horizontal="left" vertical="top" wrapText="1"/>
    </xf>
    <xf numFmtId="0" fontId="8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left" vertical="center"/>
    </xf>
    <xf numFmtId="0" fontId="11" fillId="5" borderId="2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2" fillId="7" borderId="2" xfId="0" applyFont="1" applyFill="1" applyBorder="1" applyAlignment="1">
      <alignment horizontal="left" vertical="center"/>
    </xf>
    <xf numFmtId="0" fontId="13" fillId="8" borderId="2" xfId="0" applyFont="1" applyFill="1" applyBorder="1" applyAlignment="1">
      <alignment horizontal="left" vertical="center"/>
    </xf>
    <xf numFmtId="0" fontId="14" fillId="9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7B241C"/>
      <rgbColor rgb="FF008000"/>
      <rgbColor rgb="FF000080"/>
      <rgbColor rgb="FF7F6000"/>
      <rgbColor rgb="FF800080"/>
      <rgbColor rgb="FF008080"/>
      <rgbColor rgb="FFBFBFBF"/>
      <rgbColor rgb="FF808080"/>
      <rgbColor rgb="FF9999FF"/>
      <rgbColor rgb="FF6B2D4E"/>
      <rgbColor rgb="FFFFF2CC"/>
      <rgbColor rgb="FFDDEBF7"/>
      <rgbColor rgb="FF660066"/>
      <rgbColor rgb="FFFF8080"/>
      <rgbColor rgb="FF1A5276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5FB"/>
      <rgbColor rgb="FFE2EFDA"/>
      <rgbColor rgb="FFFCE4D6"/>
      <rgbColor rgb="FF99CCFF"/>
      <rgbColor rgb="FFFF99CC"/>
      <rgbColor rgb="FFCC99FF"/>
      <rgbColor rgb="FFEAD1DC"/>
      <rgbColor rgb="FF2E75B6"/>
      <rgbColor rgb="FF33CCCC"/>
      <rgbColor rgb="FF99CC00"/>
      <rgbColor rgb="FFFFCC00"/>
      <rgbColor rgb="FFBF8F00"/>
      <rgbColor rgb="FFE26B0A"/>
      <rgbColor rgb="FF595959"/>
      <rgbColor rgb="FF8D99AE"/>
      <rgbColor rgb="FF1F4E79"/>
      <rgbColor rgb="FF339966"/>
      <rgbColor rgb="FF003300"/>
      <rgbColor rgb="FF375623"/>
      <rgbColor rgb="FF843C0C"/>
      <rgbColor rgb="FF993366"/>
      <rgbColor rgb="FF244F7A"/>
      <rgbColor rgb="FF2D32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4"/>
  <sheetViews>
    <sheetView tabSelected="1" zoomScaleNormal="100" workbookViewId="0">
      <pane ySplit="4" topLeftCell="A5" activePane="bottomLeft" state="frozen"/>
      <selection pane="bottomLeft" activeCell="E2" sqref="E2"/>
    </sheetView>
  </sheetViews>
  <sheetFormatPr defaultColWidth="8.7109375" defaultRowHeight="15"/>
  <cols>
    <col min="1" max="1" width="12" customWidth="1"/>
    <col min="2" max="3" width="16" customWidth="1"/>
    <col min="4" max="4" width="28" customWidth="1"/>
    <col min="5" max="5" width="26" customWidth="1"/>
    <col min="6" max="6" width="36" customWidth="1"/>
    <col min="7" max="7" width="32" customWidth="1"/>
    <col min="8" max="8" width="10" customWidth="1"/>
    <col min="9" max="9" width="14" customWidth="1"/>
    <col min="10" max="10" width="26" customWidth="1"/>
    <col min="11" max="11" width="12" customWidth="1"/>
    <col min="12" max="12" width="22" customWidth="1"/>
  </cols>
  <sheetData>
    <row r="1" spans="1:12" ht="24" customHeight="1">
      <c r="A1" s="1" t="s">
        <v>0</v>
      </c>
    </row>
    <row r="2" spans="1:12" ht="15.75" customHeight="1">
      <c r="A2" s="2" t="s">
        <v>1</v>
      </c>
    </row>
    <row r="3" spans="1:12" ht="6" customHeight="1">
      <c r="A3" s="3"/>
    </row>
    <row r="4" spans="1:12" ht="21.75" customHeight="1">
      <c r="A4" s="25" t="s">
        <v>2</v>
      </c>
      <c r="B4" s="25" t="s">
        <v>3</v>
      </c>
      <c r="C4" s="25" t="s">
        <v>4</v>
      </c>
      <c r="D4" s="25" t="s">
        <v>5</v>
      </c>
      <c r="E4" s="25" t="s">
        <v>6</v>
      </c>
      <c r="F4" s="25" t="s">
        <v>7</v>
      </c>
      <c r="G4" s="25" t="s">
        <v>8</v>
      </c>
      <c r="H4" s="25" t="s">
        <v>9</v>
      </c>
      <c r="I4" s="25" t="s">
        <v>10</v>
      </c>
      <c r="J4" s="25" t="s">
        <v>11</v>
      </c>
      <c r="K4" s="25" t="s">
        <v>12</v>
      </c>
      <c r="L4" s="25" t="s">
        <v>13</v>
      </c>
    </row>
    <row r="5" spans="1:12" ht="18" customHeight="1">
      <c r="A5" s="26" t="s">
        <v>14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</row>
    <row r="6" spans="1:12" ht="54.75" customHeight="1">
      <c r="A6" s="27" t="s">
        <v>15</v>
      </c>
      <c r="B6" s="28" t="s">
        <v>14</v>
      </c>
      <c r="C6" s="28" t="s">
        <v>16</v>
      </c>
      <c r="D6" s="29" t="s">
        <v>17</v>
      </c>
      <c r="E6" s="29" t="s">
        <v>18</v>
      </c>
      <c r="F6" s="29" t="s">
        <v>19</v>
      </c>
      <c r="G6" s="29" t="s">
        <v>20</v>
      </c>
      <c r="H6" s="30" t="s">
        <v>21</v>
      </c>
      <c r="I6" s="28" t="s">
        <v>22</v>
      </c>
      <c r="J6" s="28" t="s">
        <v>23</v>
      </c>
      <c r="K6" s="31" t="s">
        <v>24</v>
      </c>
      <c r="L6" s="29"/>
    </row>
    <row r="7" spans="1:12" ht="54.75" customHeight="1">
      <c r="A7" s="32" t="s">
        <v>25</v>
      </c>
      <c r="B7" s="33" t="s">
        <v>14</v>
      </c>
      <c r="C7" s="33" t="s">
        <v>16</v>
      </c>
      <c r="D7" s="34" t="s">
        <v>26</v>
      </c>
      <c r="E7" s="34" t="s">
        <v>27</v>
      </c>
      <c r="F7" s="34" t="s">
        <v>28</v>
      </c>
      <c r="G7" s="34" t="s">
        <v>29</v>
      </c>
      <c r="H7" s="35" t="s">
        <v>21</v>
      </c>
      <c r="I7" s="33" t="s">
        <v>30</v>
      </c>
      <c r="J7" s="33" t="s">
        <v>31</v>
      </c>
      <c r="K7" s="36" t="s">
        <v>32</v>
      </c>
      <c r="L7" s="34"/>
    </row>
    <row r="8" spans="1:12" ht="54.75" customHeight="1">
      <c r="A8" s="27" t="s">
        <v>33</v>
      </c>
      <c r="B8" s="28" t="s">
        <v>14</v>
      </c>
      <c r="C8" s="28" t="s">
        <v>16</v>
      </c>
      <c r="D8" s="29" t="s">
        <v>34</v>
      </c>
      <c r="E8" s="29" t="s">
        <v>35</v>
      </c>
      <c r="F8" s="29" t="s">
        <v>36</v>
      </c>
      <c r="G8" s="29" t="s">
        <v>37</v>
      </c>
      <c r="H8" s="37" t="s">
        <v>38</v>
      </c>
      <c r="I8" s="28" t="s">
        <v>30</v>
      </c>
      <c r="J8" s="28" t="s">
        <v>31</v>
      </c>
      <c r="K8" s="31" t="s">
        <v>39</v>
      </c>
      <c r="L8" s="29"/>
    </row>
    <row r="9" spans="1:12" ht="54.75" customHeight="1">
      <c r="A9" s="32" t="s">
        <v>40</v>
      </c>
      <c r="B9" s="33" t="s">
        <v>14</v>
      </c>
      <c r="C9" s="33" t="s">
        <v>16</v>
      </c>
      <c r="D9" s="34" t="s">
        <v>41</v>
      </c>
      <c r="E9" s="34" t="s">
        <v>42</v>
      </c>
      <c r="F9" s="34" t="s">
        <v>43</v>
      </c>
      <c r="G9" s="34" t="s">
        <v>44</v>
      </c>
      <c r="H9" s="38" t="s">
        <v>38</v>
      </c>
      <c r="I9" s="33" t="s">
        <v>30</v>
      </c>
      <c r="J9" s="33" t="s">
        <v>31</v>
      </c>
      <c r="K9" s="36" t="s">
        <v>32</v>
      </c>
      <c r="L9" s="34"/>
    </row>
    <row r="10" spans="1:12" ht="54.75" customHeight="1">
      <c r="A10" s="27" t="s">
        <v>45</v>
      </c>
      <c r="B10" s="28" t="s">
        <v>14</v>
      </c>
      <c r="C10" s="28" t="s">
        <v>46</v>
      </c>
      <c r="D10" s="29" t="s">
        <v>47</v>
      </c>
      <c r="E10" s="29" t="s">
        <v>48</v>
      </c>
      <c r="F10" s="29" t="s">
        <v>49</v>
      </c>
      <c r="G10" s="29" t="s">
        <v>50</v>
      </c>
      <c r="H10" s="30" t="s">
        <v>21</v>
      </c>
      <c r="I10" s="28" t="s">
        <v>22</v>
      </c>
      <c r="J10" s="28" t="s">
        <v>23</v>
      </c>
      <c r="K10" s="31" t="s">
        <v>51</v>
      </c>
      <c r="L10" s="29"/>
    </row>
    <row r="11" spans="1:12" ht="54.75" customHeight="1">
      <c r="A11" s="32" t="s">
        <v>52</v>
      </c>
      <c r="B11" s="33" t="s">
        <v>14</v>
      </c>
      <c r="C11" s="33" t="s">
        <v>46</v>
      </c>
      <c r="D11" s="34" t="s">
        <v>53</v>
      </c>
      <c r="E11" s="34" t="s">
        <v>54</v>
      </c>
      <c r="F11" s="34" t="s">
        <v>55</v>
      </c>
      <c r="G11" s="34" t="s">
        <v>56</v>
      </c>
      <c r="H11" s="35" t="s">
        <v>21</v>
      </c>
      <c r="I11" s="33" t="s">
        <v>22</v>
      </c>
      <c r="J11" s="33" t="s">
        <v>23</v>
      </c>
      <c r="K11" s="36" t="s">
        <v>32</v>
      </c>
      <c r="L11" s="34"/>
    </row>
    <row r="12" spans="1:12" ht="54.75" customHeight="1">
      <c r="A12" s="27" t="s">
        <v>57</v>
      </c>
      <c r="B12" s="28" t="s">
        <v>14</v>
      </c>
      <c r="C12" s="28" t="s">
        <v>58</v>
      </c>
      <c r="D12" s="29" t="s">
        <v>59</v>
      </c>
      <c r="E12" s="29" t="s">
        <v>60</v>
      </c>
      <c r="F12" s="29" t="s">
        <v>61</v>
      </c>
      <c r="G12" s="29" t="s">
        <v>62</v>
      </c>
      <c r="H12" s="37" t="s">
        <v>38</v>
      </c>
      <c r="I12" s="28" t="s">
        <v>63</v>
      </c>
      <c r="J12" s="28" t="s">
        <v>64</v>
      </c>
      <c r="K12" s="31" t="s">
        <v>65</v>
      </c>
      <c r="L12" s="29"/>
    </row>
    <row r="13" spans="1:12" ht="54.75" customHeight="1">
      <c r="A13" s="32" t="s">
        <v>66</v>
      </c>
      <c r="B13" s="33" t="s">
        <v>14</v>
      </c>
      <c r="C13" s="33" t="s">
        <v>58</v>
      </c>
      <c r="D13" s="34" t="s">
        <v>67</v>
      </c>
      <c r="E13" s="34" t="s">
        <v>68</v>
      </c>
      <c r="F13" s="34" t="s">
        <v>69</v>
      </c>
      <c r="G13" s="34" t="s">
        <v>70</v>
      </c>
      <c r="H13" s="38" t="s">
        <v>38</v>
      </c>
      <c r="I13" s="33" t="s">
        <v>63</v>
      </c>
      <c r="J13" s="33" t="s">
        <v>64</v>
      </c>
      <c r="K13" s="36" t="s">
        <v>32</v>
      </c>
      <c r="L13" s="34"/>
    </row>
    <row r="14" spans="1:12" ht="18" customHeight="1">
      <c r="A14" s="39" t="s">
        <v>71</v>
      </c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</row>
    <row r="15" spans="1:12" ht="54.75" customHeight="1">
      <c r="A15" s="32" t="s">
        <v>72</v>
      </c>
      <c r="B15" s="33" t="s">
        <v>71</v>
      </c>
      <c r="C15" s="33" t="s">
        <v>73</v>
      </c>
      <c r="D15" s="34" t="s">
        <v>74</v>
      </c>
      <c r="E15" s="34" t="s">
        <v>75</v>
      </c>
      <c r="F15" s="34" t="s">
        <v>76</v>
      </c>
      <c r="G15" s="34" t="s">
        <v>77</v>
      </c>
      <c r="H15" s="35" t="s">
        <v>21</v>
      </c>
      <c r="I15" s="33" t="s">
        <v>22</v>
      </c>
      <c r="J15" s="33" t="s">
        <v>23</v>
      </c>
      <c r="K15" s="36" t="s">
        <v>32</v>
      </c>
      <c r="L15" s="34"/>
    </row>
    <row r="16" spans="1:12" ht="54.75" customHeight="1">
      <c r="A16" s="27" t="s">
        <v>78</v>
      </c>
      <c r="B16" s="28" t="s">
        <v>71</v>
      </c>
      <c r="C16" s="28" t="s">
        <v>79</v>
      </c>
      <c r="D16" s="29" t="s">
        <v>80</v>
      </c>
      <c r="E16" s="29" t="s">
        <v>81</v>
      </c>
      <c r="F16" s="29" t="s">
        <v>82</v>
      </c>
      <c r="G16" s="29" t="s">
        <v>83</v>
      </c>
      <c r="H16" s="30" t="s">
        <v>21</v>
      </c>
      <c r="I16" s="28" t="s">
        <v>22</v>
      </c>
      <c r="J16" s="28" t="s">
        <v>84</v>
      </c>
      <c r="K16" s="31" t="s">
        <v>51</v>
      </c>
      <c r="L16" s="29"/>
    </row>
    <row r="17" spans="1:12" ht="54.75" customHeight="1">
      <c r="A17" s="32" t="s">
        <v>85</v>
      </c>
      <c r="B17" s="33" t="s">
        <v>71</v>
      </c>
      <c r="C17" s="33" t="s">
        <v>86</v>
      </c>
      <c r="D17" s="34" t="s">
        <v>87</v>
      </c>
      <c r="E17" s="34" t="s">
        <v>88</v>
      </c>
      <c r="F17" s="34" t="s">
        <v>89</v>
      </c>
      <c r="G17" s="34" t="s">
        <v>90</v>
      </c>
      <c r="H17" s="38" t="s">
        <v>38</v>
      </c>
      <c r="I17" s="33" t="s">
        <v>22</v>
      </c>
      <c r="J17" s="33" t="s">
        <v>84</v>
      </c>
      <c r="K17" s="36" t="s">
        <v>24</v>
      </c>
      <c r="L17" s="34"/>
    </row>
    <row r="18" spans="1:12" ht="54.75" customHeight="1">
      <c r="A18" s="27" t="s">
        <v>91</v>
      </c>
      <c r="B18" s="28" t="s">
        <v>71</v>
      </c>
      <c r="C18" s="28" t="s">
        <v>92</v>
      </c>
      <c r="D18" s="29" t="s">
        <v>93</v>
      </c>
      <c r="E18" s="29" t="s">
        <v>94</v>
      </c>
      <c r="F18" s="29" t="s">
        <v>95</v>
      </c>
      <c r="G18" s="29" t="s">
        <v>96</v>
      </c>
      <c r="H18" s="37" t="s">
        <v>38</v>
      </c>
      <c r="I18" s="28" t="s">
        <v>30</v>
      </c>
      <c r="J18" s="28" t="s">
        <v>97</v>
      </c>
      <c r="K18" s="31" t="s">
        <v>24</v>
      </c>
      <c r="L18" s="29"/>
    </row>
    <row r="19" spans="1:12" ht="54.75" customHeight="1">
      <c r="A19" s="32" t="s">
        <v>98</v>
      </c>
      <c r="B19" s="33" t="s">
        <v>71</v>
      </c>
      <c r="C19" s="33" t="s">
        <v>92</v>
      </c>
      <c r="D19" s="34" t="s">
        <v>99</v>
      </c>
      <c r="E19" s="34" t="s">
        <v>100</v>
      </c>
      <c r="F19" s="34" t="s">
        <v>101</v>
      </c>
      <c r="G19" s="34" t="s">
        <v>102</v>
      </c>
      <c r="H19" s="38" t="s">
        <v>38</v>
      </c>
      <c r="I19" s="33" t="s">
        <v>30</v>
      </c>
      <c r="J19" s="33" t="s">
        <v>97</v>
      </c>
      <c r="K19" s="36" t="s">
        <v>24</v>
      </c>
      <c r="L19" s="34"/>
    </row>
    <row r="20" spans="1:12" ht="54.75" customHeight="1">
      <c r="A20" s="27" t="s">
        <v>103</v>
      </c>
      <c r="B20" s="28" t="s">
        <v>71</v>
      </c>
      <c r="C20" s="28" t="s">
        <v>92</v>
      </c>
      <c r="D20" s="29" t="s">
        <v>104</v>
      </c>
      <c r="E20" s="29" t="s">
        <v>105</v>
      </c>
      <c r="F20" s="29" t="s">
        <v>106</v>
      </c>
      <c r="G20" s="29" t="s">
        <v>107</v>
      </c>
      <c r="H20" s="40" t="s">
        <v>108</v>
      </c>
      <c r="I20" s="28" t="s">
        <v>30</v>
      </c>
      <c r="J20" s="28" t="s">
        <v>97</v>
      </c>
      <c r="K20" s="31" t="s">
        <v>24</v>
      </c>
      <c r="L20" s="29"/>
    </row>
    <row r="21" spans="1:12" ht="54.75" customHeight="1">
      <c r="A21" s="32" t="s">
        <v>109</v>
      </c>
      <c r="B21" s="33" t="s">
        <v>71</v>
      </c>
      <c r="C21" s="33" t="s">
        <v>110</v>
      </c>
      <c r="D21" s="34" t="s">
        <v>111</v>
      </c>
      <c r="E21" s="34" t="s">
        <v>112</v>
      </c>
      <c r="F21" s="34" t="s">
        <v>113</v>
      </c>
      <c r="G21" s="34" t="s">
        <v>114</v>
      </c>
      <c r="H21" s="41" t="s">
        <v>108</v>
      </c>
      <c r="I21" s="33" t="s">
        <v>22</v>
      </c>
      <c r="J21" s="33"/>
      <c r="K21" s="36" t="s">
        <v>24</v>
      </c>
      <c r="L21" s="34"/>
    </row>
    <row r="22" spans="1:12" ht="18" customHeight="1">
      <c r="A22" s="42" t="s">
        <v>115</v>
      </c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</row>
    <row r="23" spans="1:12" ht="54.75" customHeight="1">
      <c r="A23" s="32" t="s">
        <v>116</v>
      </c>
      <c r="B23" s="33" t="s">
        <v>115</v>
      </c>
      <c r="C23" s="33" t="s">
        <v>117</v>
      </c>
      <c r="D23" s="34" t="s">
        <v>118</v>
      </c>
      <c r="E23" s="34" t="s">
        <v>119</v>
      </c>
      <c r="F23" s="34" t="s">
        <v>120</v>
      </c>
      <c r="G23" s="34" t="s">
        <v>121</v>
      </c>
      <c r="H23" s="35" t="s">
        <v>21</v>
      </c>
      <c r="I23" s="33" t="s">
        <v>22</v>
      </c>
      <c r="J23" s="33" t="s">
        <v>122</v>
      </c>
      <c r="K23" s="36" t="s">
        <v>24</v>
      </c>
      <c r="L23" s="34"/>
    </row>
    <row r="24" spans="1:12" ht="54.75" customHeight="1">
      <c r="A24" s="27" t="s">
        <v>123</v>
      </c>
      <c r="B24" s="28" t="s">
        <v>115</v>
      </c>
      <c r="C24" s="28" t="s">
        <v>117</v>
      </c>
      <c r="D24" s="29" t="s">
        <v>124</v>
      </c>
      <c r="E24" s="29" t="s">
        <v>119</v>
      </c>
      <c r="F24" s="29" t="s">
        <v>125</v>
      </c>
      <c r="G24" s="29" t="s">
        <v>126</v>
      </c>
      <c r="H24" s="30" t="s">
        <v>21</v>
      </c>
      <c r="I24" s="28" t="s">
        <v>22</v>
      </c>
      <c r="J24" s="28" t="s">
        <v>122</v>
      </c>
      <c r="K24" s="31" t="s">
        <v>24</v>
      </c>
      <c r="L24" s="29"/>
    </row>
    <row r="25" spans="1:12" ht="54.75" customHeight="1">
      <c r="A25" s="32" t="s">
        <v>127</v>
      </c>
      <c r="B25" s="33" t="s">
        <v>115</v>
      </c>
      <c r="C25" s="33" t="s">
        <v>128</v>
      </c>
      <c r="D25" s="34" t="s">
        <v>129</v>
      </c>
      <c r="E25" s="34" t="s">
        <v>130</v>
      </c>
      <c r="F25" s="34" t="s">
        <v>131</v>
      </c>
      <c r="G25" s="34" t="s">
        <v>132</v>
      </c>
      <c r="H25" s="35" t="s">
        <v>21</v>
      </c>
      <c r="I25" s="33" t="s">
        <v>22</v>
      </c>
      <c r="J25" s="33" t="s">
        <v>133</v>
      </c>
      <c r="K25" s="36" t="s">
        <v>24</v>
      </c>
      <c r="L25" s="34"/>
    </row>
    <row r="26" spans="1:12" ht="54.75" customHeight="1">
      <c r="A26" s="27" t="s">
        <v>134</v>
      </c>
      <c r="B26" s="28" t="s">
        <v>115</v>
      </c>
      <c r="C26" s="28" t="s">
        <v>135</v>
      </c>
      <c r="D26" s="29" t="s">
        <v>136</v>
      </c>
      <c r="E26" s="29" t="s">
        <v>137</v>
      </c>
      <c r="F26" s="29" t="s">
        <v>138</v>
      </c>
      <c r="G26" s="29" t="s">
        <v>139</v>
      </c>
      <c r="H26" s="30" t="s">
        <v>21</v>
      </c>
      <c r="I26" s="28" t="s">
        <v>22</v>
      </c>
      <c r="J26" s="28" t="s">
        <v>133</v>
      </c>
      <c r="K26" s="31" t="s">
        <v>24</v>
      </c>
      <c r="L26" s="29"/>
    </row>
    <row r="27" spans="1:12" ht="54.75" customHeight="1">
      <c r="A27" s="32" t="s">
        <v>140</v>
      </c>
      <c r="B27" s="33" t="s">
        <v>115</v>
      </c>
      <c r="C27" s="33" t="s">
        <v>135</v>
      </c>
      <c r="D27" s="34" t="s">
        <v>141</v>
      </c>
      <c r="E27" s="34" t="s">
        <v>142</v>
      </c>
      <c r="F27" s="34" t="s">
        <v>143</v>
      </c>
      <c r="G27" s="34" t="s">
        <v>144</v>
      </c>
      <c r="H27" s="38" t="s">
        <v>38</v>
      </c>
      <c r="I27" s="33" t="s">
        <v>22</v>
      </c>
      <c r="J27" s="33" t="s">
        <v>133</v>
      </c>
      <c r="K27" s="36" t="s">
        <v>39</v>
      </c>
      <c r="L27" s="34"/>
    </row>
    <row r="28" spans="1:12" ht="54.75" customHeight="1">
      <c r="A28" s="27" t="s">
        <v>145</v>
      </c>
      <c r="B28" s="28" t="s">
        <v>115</v>
      </c>
      <c r="C28" s="28" t="s">
        <v>117</v>
      </c>
      <c r="D28" s="29" t="s">
        <v>146</v>
      </c>
      <c r="E28" s="29" t="s">
        <v>147</v>
      </c>
      <c r="F28" s="29" t="s">
        <v>148</v>
      </c>
      <c r="G28" s="29" t="s">
        <v>149</v>
      </c>
      <c r="H28" s="37" t="s">
        <v>38</v>
      </c>
      <c r="I28" s="28" t="s">
        <v>22</v>
      </c>
      <c r="J28" s="28" t="s">
        <v>133</v>
      </c>
      <c r="K28" s="31" t="s">
        <v>65</v>
      </c>
      <c r="L28" s="29"/>
    </row>
    <row r="29" spans="1:12" ht="18" customHeight="1">
      <c r="A29" s="43" t="s">
        <v>150</v>
      </c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</row>
    <row r="30" spans="1:12" ht="54.75" customHeight="1">
      <c r="A30" s="27" t="s">
        <v>151</v>
      </c>
      <c r="B30" s="28" t="s">
        <v>150</v>
      </c>
      <c r="C30" s="28" t="s">
        <v>152</v>
      </c>
      <c r="D30" s="29" t="s">
        <v>153</v>
      </c>
      <c r="E30" s="29" t="s">
        <v>154</v>
      </c>
      <c r="F30" s="29" t="s">
        <v>155</v>
      </c>
      <c r="G30" s="29" t="s">
        <v>156</v>
      </c>
      <c r="H30" s="30" t="s">
        <v>21</v>
      </c>
      <c r="I30" s="28" t="s">
        <v>22</v>
      </c>
      <c r="J30" s="28" t="s">
        <v>64</v>
      </c>
      <c r="K30" s="31" t="s">
        <v>51</v>
      </c>
      <c r="L30" s="29"/>
    </row>
    <row r="31" spans="1:12" ht="54.75" customHeight="1">
      <c r="A31" s="32" t="s">
        <v>157</v>
      </c>
      <c r="B31" s="33" t="s">
        <v>150</v>
      </c>
      <c r="C31" s="33" t="s">
        <v>158</v>
      </c>
      <c r="D31" s="34" t="s">
        <v>159</v>
      </c>
      <c r="E31" s="34" t="s">
        <v>160</v>
      </c>
      <c r="F31" s="34" t="s">
        <v>161</v>
      </c>
      <c r="G31" s="34" t="s">
        <v>162</v>
      </c>
      <c r="H31" s="35" t="s">
        <v>21</v>
      </c>
      <c r="I31" s="33" t="s">
        <v>22</v>
      </c>
      <c r="J31" s="33" t="s">
        <v>64</v>
      </c>
      <c r="K31" s="36" t="s">
        <v>39</v>
      </c>
      <c r="L31" s="34"/>
    </row>
    <row r="32" spans="1:12" ht="54.75" customHeight="1">
      <c r="A32" s="27" t="s">
        <v>163</v>
      </c>
      <c r="B32" s="28" t="s">
        <v>150</v>
      </c>
      <c r="C32" s="28" t="s">
        <v>164</v>
      </c>
      <c r="D32" s="29" t="s">
        <v>165</v>
      </c>
      <c r="E32" s="29" t="s">
        <v>166</v>
      </c>
      <c r="F32" s="29" t="s">
        <v>167</v>
      </c>
      <c r="G32" s="29" t="s">
        <v>168</v>
      </c>
      <c r="H32" s="30" t="s">
        <v>21</v>
      </c>
      <c r="I32" s="28" t="s">
        <v>22</v>
      </c>
      <c r="J32" s="28" t="s">
        <v>84</v>
      </c>
      <c r="K32" s="31" t="s">
        <v>32</v>
      </c>
      <c r="L32" s="29"/>
    </row>
    <row r="33" spans="1:12" ht="54.75" customHeight="1">
      <c r="A33" s="32" t="s">
        <v>169</v>
      </c>
      <c r="B33" s="33" t="s">
        <v>150</v>
      </c>
      <c r="C33" s="33" t="s">
        <v>170</v>
      </c>
      <c r="D33" s="34" t="s">
        <v>171</v>
      </c>
      <c r="E33" s="34" t="s">
        <v>172</v>
      </c>
      <c r="F33" s="34" t="s">
        <v>173</v>
      </c>
      <c r="G33" s="34" t="s">
        <v>174</v>
      </c>
      <c r="H33" s="35" t="s">
        <v>21</v>
      </c>
      <c r="I33" s="33" t="s">
        <v>22</v>
      </c>
      <c r="J33" s="33"/>
      <c r="K33" s="36" t="s">
        <v>39</v>
      </c>
      <c r="L33" s="34"/>
    </row>
    <row r="34" spans="1:12" ht="54.75" customHeight="1">
      <c r="A34" s="27" t="s">
        <v>175</v>
      </c>
      <c r="B34" s="28" t="s">
        <v>150</v>
      </c>
      <c r="C34" s="28" t="s">
        <v>176</v>
      </c>
      <c r="D34" s="29" t="s">
        <v>177</v>
      </c>
      <c r="E34" s="29" t="s">
        <v>178</v>
      </c>
      <c r="F34" s="29" t="s">
        <v>179</v>
      </c>
      <c r="G34" s="29" t="s">
        <v>180</v>
      </c>
      <c r="H34" s="37" t="s">
        <v>38</v>
      </c>
      <c r="I34" s="28" t="s">
        <v>63</v>
      </c>
      <c r="J34" s="28" t="s">
        <v>84</v>
      </c>
      <c r="K34" s="31" t="s">
        <v>39</v>
      </c>
      <c r="L34" s="29"/>
    </row>
    <row r="35" spans="1:12" ht="54.75" customHeight="1">
      <c r="A35" s="32" t="s">
        <v>181</v>
      </c>
      <c r="B35" s="33" t="s">
        <v>150</v>
      </c>
      <c r="C35" s="33" t="s">
        <v>176</v>
      </c>
      <c r="D35" s="34" t="s">
        <v>182</v>
      </c>
      <c r="E35" s="34" t="s">
        <v>183</v>
      </c>
      <c r="F35" s="34" t="s">
        <v>184</v>
      </c>
      <c r="G35" s="34" t="s">
        <v>185</v>
      </c>
      <c r="H35" s="38" t="s">
        <v>38</v>
      </c>
      <c r="I35" s="33" t="s">
        <v>63</v>
      </c>
      <c r="J35" s="33" t="s">
        <v>84</v>
      </c>
      <c r="K35" s="36" t="s">
        <v>24</v>
      </c>
      <c r="L35" s="34"/>
    </row>
    <row r="36" spans="1:12" ht="18" customHeight="1">
      <c r="A36" s="44" t="s">
        <v>186</v>
      </c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</row>
    <row r="37" spans="1:12" ht="54.75" customHeight="1">
      <c r="A37" s="32" t="s">
        <v>187</v>
      </c>
      <c r="B37" s="33" t="s">
        <v>186</v>
      </c>
      <c r="C37" s="33" t="s">
        <v>188</v>
      </c>
      <c r="D37" s="34" t="s">
        <v>189</v>
      </c>
      <c r="E37" s="34" t="s">
        <v>190</v>
      </c>
      <c r="F37" s="34" t="s">
        <v>191</v>
      </c>
      <c r="G37" s="34" t="s">
        <v>192</v>
      </c>
      <c r="H37" s="35" t="s">
        <v>21</v>
      </c>
      <c r="I37" s="33" t="s">
        <v>188</v>
      </c>
      <c r="J37" s="33" t="s">
        <v>193</v>
      </c>
      <c r="K37" s="36" t="s">
        <v>24</v>
      </c>
      <c r="L37" s="34"/>
    </row>
    <row r="38" spans="1:12" ht="54.75" customHeight="1">
      <c r="A38" s="27" t="s">
        <v>194</v>
      </c>
      <c r="B38" s="28" t="s">
        <v>186</v>
      </c>
      <c r="C38" s="28" t="s">
        <v>188</v>
      </c>
      <c r="D38" s="29" t="s">
        <v>195</v>
      </c>
      <c r="E38" s="29" t="s">
        <v>196</v>
      </c>
      <c r="F38" s="29" t="s">
        <v>197</v>
      </c>
      <c r="G38" s="29" t="s">
        <v>198</v>
      </c>
      <c r="H38" s="37" t="s">
        <v>38</v>
      </c>
      <c r="I38" s="28" t="s">
        <v>188</v>
      </c>
      <c r="J38" s="28" t="s">
        <v>193</v>
      </c>
      <c r="K38" s="31" t="s">
        <v>24</v>
      </c>
      <c r="L38" s="29"/>
    </row>
    <row r="39" spans="1:12" ht="54.75" customHeight="1">
      <c r="A39" s="32" t="s">
        <v>199</v>
      </c>
      <c r="B39" s="33" t="s">
        <v>186</v>
      </c>
      <c r="C39" s="33" t="s">
        <v>200</v>
      </c>
      <c r="D39" s="34" t="s">
        <v>201</v>
      </c>
      <c r="E39" s="34" t="s">
        <v>202</v>
      </c>
      <c r="F39" s="34" t="s">
        <v>203</v>
      </c>
      <c r="G39" s="34" t="s">
        <v>204</v>
      </c>
      <c r="H39" s="35" t="s">
        <v>21</v>
      </c>
      <c r="I39" s="33" t="s">
        <v>63</v>
      </c>
      <c r="J39" s="33" t="s">
        <v>205</v>
      </c>
      <c r="K39" s="36" t="s">
        <v>24</v>
      </c>
      <c r="L39" s="34"/>
    </row>
    <row r="40" spans="1:12" ht="54.75" customHeight="1">
      <c r="A40" s="27" t="s">
        <v>206</v>
      </c>
      <c r="B40" s="28" t="s">
        <v>186</v>
      </c>
      <c r="C40" s="28" t="s">
        <v>207</v>
      </c>
      <c r="D40" s="29" t="s">
        <v>208</v>
      </c>
      <c r="E40" s="29" t="s">
        <v>209</v>
      </c>
      <c r="F40" s="29" t="s">
        <v>210</v>
      </c>
      <c r="G40" s="29" t="s">
        <v>211</v>
      </c>
      <c r="H40" s="37" t="s">
        <v>38</v>
      </c>
      <c r="I40" s="28" t="s">
        <v>22</v>
      </c>
      <c r="J40" s="28" t="s">
        <v>133</v>
      </c>
      <c r="K40" s="31" t="s">
        <v>24</v>
      </c>
      <c r="L40" s="29"/>
    </row>
    <row r="41" spans="1:12" ht="54.75" customHeight="1">
      <c r="A41" s="32" t="s">
        <v>212</v>
      </c>
      <c r="B41" s="33" t="s">
        <v>186</v>
      </c>
      <c r="C41" s="33" t="s">
        <v>213</v>
      </c>
      <c r="D41" s="34" t="s">
        <v>214</v>
      </c>
      <c r="E41" s="34" t="s">
        <v>215</v>
      </c>
      <c r="F41" s="34" t="s">
        <v>216</v>
      </c>
      <c r="G41" s="34" t="s">
        <v>217</v>
      </c>
      <c r="H41" s="38" t="s">
        <v>38</v>
      </c>
      <c r="I41" s="33" t="s">
        <v>30</v>
      </c>
      <c r="J41" s="33" t="s">
        <v>122</v>
      </c>
      <c r="K41" s="36" t="s">
        <v>24</v>
      </c>
      <c r="L41" s="34"/>
    </row>
    <row r="42" spans="1:12" ht="54.75" customHeight="1">
      <c r="A42" s="27" t="s">
        <v>218</v>
      </c>
      <c r="B42" s="28" t="s">
        <v>186</v>
      </c>
      <c r="C42" s="28" t="s">
        <v>219</v>
      </c>
      <c r="D42" s="29" t="s">
        <v>220</v>
      </c>
      <c r="E42" s="29" t="s">
        <v>221</v>
      </c>
      <c r="F42" s="29" t="s">
        <v>222</v>
      </c>
      <c r="G42" s="29" t="s">
        <v>223</v>
      </c>
      <c r="H42" s="40" t="s">
        <v>108</v>
      </c>
      <c r="I42" s="28" t="s">
        <v>30</v>
      </c>
      <c r="J42" s="28" t="s">
        <v>193</v>
      </c>
      <c r="K42" s="31" t="s">
        <v>39</v>
      </c>
      <c r="L42" s="29"/>
    </row>
    <row r="43" spans="1:12" ht="18" customHeight="1">
      <c r="A43" s="23" t="s">
        <v>224</v>
      </c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</row>
    <row r="44" spans="1:12" ht="54.75" customHeight="1">
      <c r="A44" s="27" t="s">
        <v>225</v>
      </c>
      <c r="B44" s="28" t="s">
        <v>224</v>
      </c>
      <c r="C44" s="28" t="s">
        <v>226</v>
      </c>
      <c r="D44" s="29" t="s">
        <v>227</v>
      </c>
      <c r="E44" s="29" t="s">
        <v>228</v>
      </c>
      <c r="F44" s="29" t="s">
        <v>229</v>
      </c>
      <c r="G44" s="29" t="s">
        <v>230</v>
      </c>
      <c r="H44" s="37" t="s">
        <v>38</v>
      </c>
      <c r="I44" s="28" t="s">
        <v>22</v>
      </c>
      <c r="J44" s="28" t="s">
        <v>231</v>
      </c>
      <c r="K44" s="31" t="s">
        <v>51</v>
      </c>
      <c r="L44" s="29"/>
    </row>
    <row r="45" spans="1:12" ht="54.75" customHeight="1">
      <c r="A45" s="32" t="s">
        <v>232</v>
      </c>
      <c r="B45" s="33" t="s">
        <v>224</v>
      </c>
      <c r="C45" s="33" t="s">
        <v>226</v>
      </c>
      <c r="D45" s="34" t="s">
        <v>233</v>
      </c>
      <c r="E45" s="34" t="s">
        <v>234</v>
      </c>
      <c r="F45" s="34" t="s">
        <v>235</v>
      </c>
      <c r="G45" s="34" t="s">
        <v>236</v>
      </c>
      <c r="H45" s="38" t="s">
        <v>38</v>
      </c>
      <c r="I45" s="33" t="s">
        <v>22</v>
      </c>
      <c r="J45" s="33" t="s">
        <v>237</v>
      </c>
      <c r="K45" s="36" t="s">
        <v>24</v>
      </c>
      <c r="L45" s="34"/>
    </row>
    <row r="46" spans="1:12" ht="54.75" customHeight="1">
      <c r="A46" s="27" t="s">
        <v>238</v>
      </c>
      <c r="B46" s="28" t="s">
        <v>224</v>
      </c>
      <c r="C46" s="28" t="s">
        <v>226</v>
      </c>
      <c r="D46" s="29" t="s">
        <v>239</v>
      </c>
      <c r="E46" s="29" t="s">
        <v>240</v>
      </c>
      <c r="F46" s="29" t="s">
        <v>241</v>
      </c>
      <c r="G46" s="29" t="s">
        <v>242</v>
      </c>
      <c r="H46" s="37" t="s">
        <v>38</v>
      </c>
      <c r="I46" s="28" t="s">
        <v>30</v>
      </c>
      <c r="J46" s="28" t="s">
        <v>243</v>
      </c>
      <c r="K46" s="31" t="s">
        <v>24</v>
      </c>
      <c r="L46" s="29"/>
    </row>
    <row r="47" spans="1:12" ht="54.75" customHeight="1">
      <c r="A47" s="32" t="s">
        <v>244</v>
      </c>
      <c r="B47" s="33" t="s">
        <v>224</v>
      </c>
      <c r="C47" s="33" t="s">
        <v>226</v>
      </c>
      <c r="D47" s="34" t="s">
        <v>245</v>
      </c>
      <c r="E47" s="34" t="s">
        <v>246</v>
      </c>
      <c r="F47" s="34" t="s">
        <v>247</v>
      </c>
      <c r="G47" s="34" t="s">
        <v>248</v>
      </c>
      <c r="H47" s="38" t="s">
        <v>38</v>
      </c>
      <c r="I47" s="33" t="s">
        <v>22</v>
      </c>
      <c r="J47" s="33" t="s">
        <v>133</v>
      </c>
      <c r="K47" s="36" t="s">
        <v>65</v>
      </c>
      <c r="L47" s="34"/>
    </row>
    <row r="48" spans="1:12" ht="54.75" customHeight="1">
      <c r="A48" s="27" t="s">
        <v>249</v>
      </c>
      <c r="B48" s="28" t="s">
        <v>224</v>
      </c>
      <c r="C48" s="28" t="s">
        <v>226</v>
      </c>
      <c r="D48" s="29" t="s">
        <v>250</v>
      </c>
      <c r="E48" s="29" t="s">
        <v>251</v>
      </c>
      <c r="F48" s="29" t="s">
        <v>252</v>
      </c>
      <c r="G48" s="29" t="s">
        <v>253</v>
      </c>
      <c r="H48" s="37" t="s">
        <v>38</v>
      </c>
      <c r="I48" s="28" t="s">
        <v>30</v>
      </c>
      <c r="J48" s="28" t="s">
        <v>193</v>
      </c>
      <c r="K48" s="31" t="s">
        <v>24</v>
      </c>
      <c r="L48" s="29"/>
    </row>
    <row r="49" spans="1:12" ht="54.75" customHeight="1">
      <c r="A49" s="32" t="s">
        <v>254</v>
      </c>
      <c r="B49" s="33" t="s">
        <v>224</v>
      </c>
      <c r="C49" s="33" t="s">
        <v>226</v>
      </c>
      <c r="D49" s="34" t="s">
        <v>255</v>
      </c>
      <c r="E49" s="34" t="s">
        <v>256</v>
      </c>
      <c r="F49" s="34" t="s">
        <v>257</v>
      </c>
      <c r="G49" s="34" t="s">
        <v>258</v>
      </c>
      <c r="H49" s="38" t="s">
        <v>38</v>
      </c>
      <c r="I49" s="33" t="s">
        <v>22</v>
      </c>
      <c r="J49" s="33" t="s">
        <v>259</v>
      </c>
      <c r="K49" s="36" t="s">
        <v>51</v>
      </c>
      <c r="L49" s="34"/>
    </row>
    <row r="50" spans="1:12" ht="54.75" customHeight="1">
      <c r="A50" s="27" t="s">
        <v>260</v>
      </c>
      <c r="B50" s="28" t="s">
        <v>224</v>
      </c>
      <c r="C50" s="28" t="s">
        <v>226</v>
      </c>
      <c r="D50" s="29" t="s">
        <v>261</v>
      </c>
      <c r="E50" s="29" t="s">
        <v>262</v>
      </c>
      <c r="F50" s="29" t="s">
        <v>263</v>
      </c>
      <c r="G50" s="29" t="s">
        <v>264</v>
      </c>
      <c r="H50" s="30" t="s">
        <v>21</v>
      </c>
      <c r="I50" s="28" t="s">
        <v>22</v>
      </c>
      <c r="J50" s="28" t="s">
        <v>84</v>
      </c>
      <c r="K50" s="31" t="s">
        <v>24</v>
      </c>
      <c r="L50" s="29"/>
    </row>
    <row r="51" spans="1:12" ht="54.75" customHeight="1">
      <c r="A51" s="32" t="s">
        <v>265</v>
      </c>
      <c r="B51" s="33" t="s">
        <v>224</v>
      </c>
      <c r="C51" s="33" t="s">
        <v>226</v>
      </c>
      <c r="D51" s="34" t="s">
        <v>266</v>
      </c>
      <c r="E51" s="34" t="s">
        <v>267</v>
      </c>
      <c r="F51" s="34" t="s">
        <v>268</v>
      </c>
      <c r="G51" s="34" t="s">
        <v>269</v>
      </c>
      <c r="H51" s="35" t="s">
        <v>21</v>
      </c>
      <c r="I51" s="33" t="s">
        <v>63</v>
      </c>
      <c r="J51" s="33" t="s">
        <v>270</v>
      </c>
      <c r="K51" s="36" t="s">
        <v>39</v>
      </c>
      <c r="L51" s="34"/>
    </row>
    <row r="52" spans="1:12" ht="54.75" customHeight="1">
      <c r="A52" s="27" t="s">
        <v>271</v>
      </c>
      <c r="B52" s="28" t="s">
        <v>224</v>
      </c>
      <c r="C52" s="28" t="s">
        <v>226</v>
      </c>
      <c r="D52" s="29" t="s">
        <v>272</v>
      </c>
      <c r="E52" s="29" t="s">
        <v>273</v>
      </c>
      <c r="F52" s="29" t="s">
        <v>274</v>
      </c>
      <c r="G52" s="29" t="s">
        <v>275</v>
      </c>
      <c r="H52" s="40" t="s">
        <v>108</v>
      </c>
      <c r="I52" s="28" t="s">
        <v>22</v>
      </c>
      <c r="J52" s="28" t="s">
        <v>276</v>
      </c>
      <c r="K52" s="31" t="s">
        <v>39</v>
      </c>
      <c r="L52" s="29"/>
    </row>
    <row r="53" spans="1:12" ht="54.75" customHeight="1">
      <c r="A53" s="32" t="s">
        <v>277</v>
      </c>
      <c r="B53" s="33" t="s">
        <v>224</v>
      </c>
      <c r="C53" s="33" t="s">
        <v>278</v>
      </c>
      <c r="D53" s="34" t="s">
        <v>279</v>
      </c>
      <c r="E53" s="34" t="s">
        <v>280</v>
      </c>
      <c r="F53" s="34" t="s">
        <v>281</v>
      </c>
      <c r="G53" s="34" t="s">
        <v>282</v>
      </c>
      <c r="H53" s="38" t="s">
        <v>38</v>
      </c>
      <c r="I53" s="33" t="s">
        <v>22</v>
      </c>
      <c r="J53" s="33" t="s">
        <v>283</v>
      </c>
      <c r="K53" s="36" t="s">
        <v>51</v>
      </c>
      <c r="L53" s="34"/>
    </row>
    <row r="54" spans="1:12" ht="54.75" customHeight="1">
      <c r="A54" s="27" t="s">
        <v>284</v>
      </c>
      <c r="B54" s="28" t="s">
        <v>224</v>
      </c>
      <c r="C54" s="28" t="s">
        <v>278</v>
      </c>
      <c r="D54" s="29" t="s">
        <v>285</v>
      </c>
      <c r="E54" s="29" t="s">
        <v>286</v>
      </c>
      <c r="F54" s="29" t="s">
        <v>287</v>
      </c>
      <c r="G54" s="29" t="s">
        <v>288</v>
      </c>
      <c r="H54" s="37" t="s">
        <v>38</v>
      </c>
      <c r="I54" s="28" t="s">
        <v>22</v>
      </c>
      <c r="J54" s="28" t="s">
        <v>283</v>
      </c>
      <c r="K54" s="31" t="s">
        <v>51</v>
      </c>
      <c r="L54" s="29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D3250"/>
  </sheetPr>
  <dimension ref="A1:H11"/>
  <sheetViews>
    <sheetView zoomScaleNormal="100" workbookViewId="0"/>
  </sheetViews>
  <sheetFormatPr defaultColWidth="8.7109375" defaultRowHeight="15"/>
  <cols>
    <col min="1" max="1" width="20" customWidth="1"/>
    <col min="2" max="3" width="10" customWidth="1"/>
    <col min="4" max="4" width="13" customWidth="1"/>
    <col min="5" max="7" width="10" customWidth="1"/>
    <col min="8" max="8" width="12" customWidth="1"/>
  </cols>
  <sheetData>
    <row r="1" spans="1:8" ht="24" customHeight="1">
      <c r="A1" s="1" t="s">
        <v>289</v>
      </c>
    </row>
    <row r="2" spans="1:8" ht="15.75" customHeight="1">
      <c r="A2" s="2" t="s">
        <v>290</v>
      </c>
    </row>
    <row r="4" spans="1:8" ht="21.75" customHeight="1">
      <c r="A4" s="4" t="s">
        <v>3</v>
      </c>
      <c r="B4" s="4" t="s">
        <v>291</v>
      </c>
      <c r="C4" s="4" t="s">
        <v>32</v>
      </c>
      <c r="D4" s="4" t="s">
        <v>65</v>
      </c>
      <c r="E4" s="4" t="s">
        <v>24</v>
      </c>
      <c r="F4" s="4" t="s">
        <v>39</v>
      </c>
      <c r="G4" s="4" t="s">
        <v>51</v>
      </c>
      <c r="H4" s="4" t="s">
        <v>292</v>
      </c>
    </row>
    <row r="5" spans="1:8" ht="19.5" customHeight="1">
      <c r="A5" s="11" t="s">
        <v>14</v>
      </c>
      <c r="B5" s="12">
        <v>8</v>
      </c>
      <c r="C5" s="12">
        <f>COUNTIFS('Test Cases'!B:B,A5,'Test Cases'!K:K,"Not Run")</f>
        <v>4</v>
      </c>
      <c r="D5" s="12">
        <f>COUNTIFS('Test Cases'!B:B,A5,'Test Cases'!K:K,"In Progress")</f>
        <v>1</v>
      </c>
      <c r="E5" s="13">
        <f>COUNTIFS('Test Cases'!B:B,A5,'Test Cases'!K:K,"Pass")</f>
        <v>1</v>
      </c>
      <c r="F5" s="8">
        <f>COUNTIFS('Test Cases'!B:B,A5,'Test Cases'!K:K,"Fail")</f>
        <v>1</v>
      </c>
      <c r="G5" s="10">
        <f>COUNTIFS('Test Cases'!B:B,A5,'Test Cases'!K:K,"Blocked")</f>
        <v>1</v>
      </c>
      <c r="H5" s="14">
        <f>IF(COUNTIF('Test Cases'!B:B,A5)&gt;0,COUNTIFS('Test Cases'!B:B,A5,'Test Cases'!K:K,"Pass")/COUNTIF('Test Cases'!B:B,A5),"")</f>
        <v>0.125</v>
      </c>
    </row>
    <row r="6" spans="1:8" ht="19.5" customHeight="1">
      <c r="A6" s="15" t="s">
        <v>71</v>
      </c>
      <c r="B6" s="16">
        <v>7</v>
      </c>
      <c r="C6" s="16">
        <f>COUNTIFS('Test Cases'!B:B,A6,'Test Cases'!K:K,"Not Run")</f>
        <v>1</v>
      </c>
      <c r="D6" s="16">
        <f>COUNTIFS('Test Cases'!B:B,A6,'Test Cases'!K:K,"In Progress")</f>
        <v>0</v>
      </c>
      <c r="E6" s="17">
        <f>COUNTIFS('Test Cases'!B:B,A6,'Test Cases'!K:K,"Pass")</f>
        <v>5</v>
      </c>
      <c r="F6" s="6">
        <f>COUNTIFS('Test Cases'!B:B,A6,'Test Cases'!K:K,"Fail")</f>
        <v>0</v>
      </c>
      <c r="G6" s="9">
        <f>COUNTIFS('Test Cases'!B:B,A6,'Test Cases'!K:K,"Blocked")</f>
        <v>1</v>
      </c>
      <c r="H6" s="18">
        <f>IF(COUNTIF('Test Cases'!B:B,A6)&gt;0,COUNTIFS('Test Cases'!B:B,A6,'Test Cases'!K:K,"Pass")/COUNTIF('Test Cases'!B:B,A6),"")</f>
        <v>0.7142857142857143</v>
      </c>
    </row>
    <row r="7" spans="1:8" ht="19.5" customHeight="1">
      <c r="A7" s="11" t="s">
        <v>115</v>
      </c>
      <c r="B7" s="12">
        <v>6</v>
      </c>
      <c r="C7" s="12">
        <f>COUNTIFS('Test Cases'!B:B,A7,'Test Cases'!K:K,"Not Run")</f>
        <v>0</v>
      </c>
      <c r="D7" s="12">
        <f>COUNTIFS('Test Cases'!B:B,A7,'Test Cases'!K:K,"In Progress")</f>
        <v>1</v>
      </c>
      <c r="E7" s="13">
        <f>COUNTIFS('Test Cases'!B:B,A7,'Test Cases'!K:K,"Pass")</f>
        <v>4</v>
      </c>
      <c r="F7" s="8">
        <f>COUNTIFS('Test Cases'!B:B,A7,'Test Cases'!K:K,"Fail")</f>
        <v>1</v>
      </c>
      <c r="G7" s="10">
        <f>COUNTIFS('Test Cases'!B:B,A7,'Test Cases'!K:K,"Blocked")</f>
        <v>0</v>
      </c>
      <c r="H7" s="14">
        <f>IF(COUNTIF('Test Cases'!B:B,A7)&gt;0,COUNTIFS('Test Cases'!B:B,A7,'Test Cases'!K:K,"Pass")/COUNTIF('Test Cases'!B:B,A7),"")</f>
        <v>0.66666666666666663</v>
      </c>
    </row>
    <row r="8" spans="1:8" ht="19.5" customHeight="1">
      <c r="A8" s="15" t="s">
        <v>150</v>
      </c>
      <c r="B8" s="16">
        <v>6</v>
      </c>
      <c r="C8" s="16">
        <f>COUNTIFS('Test Cases'!B:B,A8,'Test Cases'!K:K,"Not Run")</f>
        <v>1</v>
      </c>
      <c r="D8" s="16">
        <f>COUNTIFS('Test Cases'!B:B,A8,'Test Cases'!K:K,"In Progress")</f>
        <v>0</v>
      </c>
      <c r="E8" s="17">
        <f>COUNTIFS('Test Cases'!B:B,A8,'Test Cases'!K:K,"Pass")</f>
        <v>1</v>
      </c>
      <c r="F8" s="6">
        <f>COUNTIFS('Test Cases'!B:B,A8,'Test Cases'!K:K,"Fail")</f>
        <v>3</v>
      </c>
      <c r="G8" s="9">
        <f>COUNTIFS('Test Cases'!B:B,A8,'Test Cases'!K:K,"Blocked")</f>
        <v>1</v>
      </c>
      <c r="H8" s="18">
        <f>IF(COUNTIF('Test Cases'!B:B,A8)&gt;0,COUNTIFS('Test Cases'!B:B,A8,'Test Cases'!K:K,"Pass")/COUNTIF('Test Cases'!B:B,A8),"")</f>
        <v>0.16666666666666666</v>
      </c>
    </row>
    <row r="9" spans="1:8" ht="19.5" customHeight="1">
      <c r="A9" s="11" t="s">
        <v>186</v>
      </c>
      <c r="B9" s="12">
        <v>6</v>
      </c>
      <c r="C9" s="12">
        <f>COUNTIFS('Test Cases'!B:B,A9,'Test Cases'!K:K,"Not Run")</f>
        <v>0</v>
      </c>
      <c r="D9" s="12">
        <f>COUNTIFS('Test Cases'!B:B,A9,'Test Cases'!K:K,"In Progress")</f>
        <v>0</v>
      </c>
      <c r="E9" s="13">
        <f>COUNTIFS('Test Cases'!B:B,A9,'Test Cases'!K:K,"Pass")</f>
        <v>5</v>
      </c>
      <c r="F9" s="8">
        <f>COUNTIFS('Test Cases'!B:B,A9,'Test Cases'!K:K,"Fail")</f>
        <v>1</v>
      </c>
      <c r="G9" s="10">
        <f>COUNTIFS('Test Cases'!B:B,A9,'Test Cases'!K:K,"Blocked")</f>
        <v>0</v>
      </c>
      <c r="H9" s="14">
        <f>IF(COUNTIF('Test Cases'!B:B,A9)&gt;0,COUNTIFS('Test Cases'!B:B,A9,'Test Cases'!K:K,"Pass")/COUNTIF('Test Cases'!B:B,A9),"")</f>
        <v>0.83333333333333337</v>
      </c>
    </row>
    <row r="10" spans="1:8" ht="19.5" customHeight="1">
      <c r="A10" s="15" t="s">
        <v>224</v>
      </c>
      <c r="B10" s="16">
        <v>11</v>
      </c>
      <c r="C10" s="16">
        <f>COUNTIFS('Test Cases'!B:B,A10,'Test Cases'!K:K,"Not Run")</f>
        <v>0</v>
      </c>
      <c r="D10" s="16">
        <f>COUNTIFS('Test Cases'!B:B,A10,'Test Cases'!K:K,"In Progress")</f>
        <v>1</v>
      </c>
      <c r="E10" s="17">
        <f>COUNTIFS('Test Cases'!B:B,A10,'Test Cases'!K:K,"Pass")</f>
        <v>4</v>
      </c>
      <c r="F10" s="6">
        <f>COUNTIFS('Test Cases'!B:B,A10,'Test Cases'!K:K,"Fail")</f>
        <v>2</v>
      </c>
      <c r="G10" s="9">
        <f>COUNTIFS('Test Cases'!B:B,A10,'Test Cases'!K:K,"Blocked")</f>
        <v>4</v>
      </c>
      <c r="H10" s="18">
        <f>IF(COUNTIF('Test Cases'!B:B,A10)&gt;0,COUNTIFS('Test Cases'!B:B,A10,'Test Cases'!K:K,"Pass")/COUNTIF('Test Cases'!B:B,A10),"")</f>
        <v>0.36363636363636365</v>
      </c>
    </row>
    <row r="11" spans="1:8" ht="19.5" customHeight="1">
      <c r="A11" s="11" t="s">
        <v>293</v>
      </c>
      <c r="B11" s="12">
        <v>44</v>
      </c>
      <c r="C11" s="12">
        <f>COUNTIF('Test Cases'!K:K,"Not Run")</f>
        <v>6</v>
      </c>
      <c r="D11" s="12">
        <f>COUNTIF('Test Cases'!K:K,"In Progress")</f>
        <v>3</v>
      </c>
      <c r="E11" s="13">
        <f>COUNTIF('Test Cases'!K:K,"Pass")</f>
        <v>20</v>
      </c>
      <c r="F11" s="8">
        <f>COUNTIF('Test Cases'!K:K,"Fail")</f>
        <v>8</v>
      </c>
      <c r="G11" s="10">
        <f>COUNTIF('Test Cases'!K:K,"Blocked")</f>
        <v>7</v>
      </c>
      <c r="H11" s="14">
        <f>IF(E11&gt;0,E11/B11,"")</f>
        <v>0.45454545454545453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B241C"/>
  </sheetPr>
  <dimension ref="A1:J23"/>
  <sheetViews>
    <sheetView zoomScaleNormal="100" workbookViewId="0"/>
  </sheetViews>
  <sheetFormatPr defaultColWidth="8.7109375" defaultRowHeight="15"/>
  <cols>
    <col min="1" max="2" width="12" customWidth="1"/>
    <col min="3" max="3" width="16" customWidth="1"/>
    <col min="4" max="4" width="28" customWidth="1"/>
    <col min="5" max="5" width="12" customWidth="1"/>
    <col min="6" max="6" width="32" customWidth="1"/>
    <col min="7" max="8" width="24" customWidth="1"/>
    <col min="9" max="9" width="12" customWidth="1"/>
    <col min="10" max="10" width="14" customWidth="1"/>
  </cols>
  <sheetData>
    <row r="1" spans="1:10" ht="24" customHeight="1">
      <c r="A1" s="1" t="s">
        <v>294</v>
      </c>
    </row>
    <row r="2" spans="1:10" ht="3.75" customHeight="1"/>
    <row r="3" spans="1:10" ht="21.75" customHeight="1">
      <c r="A3" s="4" t="s">
        <v>295</v>
      </c>
      <c r="B3" s="4" t="s">
        <v>296</v>
      </c>
      <c r="C3" s="4" t="s">
        <v>3</v>
      </c>
      <c r="D3" s="4" t="s">
        <v>297</v>
      </c>
      <c r="E3" s="4" t="s">
        <v>298</v>
      </c>
      <c r="F3" s="4" t="s">
        <v>299</v>
      </c>
      <c r="G3" s="4" t="s">
        <v>300</v>
      </c>
      <c r="H3" s="4" t="s">
        <v>301</v>
      </c>
      <c r="I3" s="4" t="s">
        <v>12</v>
      </c>
      <c r="J3" s="4" t="s">
        <v>302</v>
      </c>
    </row>
    <row r="4" spans="1:10" ht="39.75" customHeight="1">
      <c r="A4" s="19"/>
      <c r="B4" s="19"/>
      <c r="C4" s="19"/>
      <c r="D4" s="5"/>
      <c r="E4" s="19"/>
      <c r="F4" s="5"/>
      <c r="G4" s="5"/>
      <c r="H4" s="5"/>
      <c r="I4" s="19"/>
      <c r="J4" s="19"/>
    </row>
    <row r="5" spans="1:10" ht="39.75" customHeight="1">
      <c r="A5" s="20"/>
      <c r="B5" s="20"/>
      <c r="C5" s="20"/>
      <c r="D5" s="7"/>
      <c r="E5" s="20"/>
      <c r="F5" s="7"/>
      <c r="G5" s="7"/>
      <c r="H5" s="7"/>
      <c r="I5" s="20"/>
      <c r="J5" s="20"/>
    </row>
    <row r="6" spans="1:10" ht="39.75" customHeight="1">
      <c r="A6" s="19"/>
      <c r="B6" s="19"/>
      <c r="C6" s="19"/>
      <c r="D6" s="5"/>
      <c r="E6" s="19"/>
      <c r="F6" s="5"/>
      <c r="G6" s="5"/>
      <c r="H6" s="5"/>
      <c r="I6" s="19"/>
      <c r="J6" s="19"/>
    </row>
    <row r="7" spans="1:10" ht="39.75" customHeight="1">
      <c r="A7" s="20"/>
      <c r="B7" s="20"/>
      <c r="C7" s="20"/>
      <c r="D7" s="7"/>
      <c r="E7" s="20"/>
      <c r="F7" s="7"/>
      <c r="G7" s="7"/>
      <c r="H7" s="7"/>
      <c r="I7" s="20"/>
      <c r="J7" s="20"/>
    </row>
    <row r="8" spans="1:10" ht="39.75" customHeight="1">
      <c r="A8" s="19"/>
      <c r="B8" s="19"/>
      <c r="C8" s="19"/>
      <c r="D8" s="5"/>
      <c r="E8" s="19"/>
      <c r="F8" s="5"/>
      <c r="G8" s="5"/>
      <c r="H8" s="5"/>
      <c r="I8" s="19"/>
      <c r="J8" s="19"/>
    </row>
    <row r="9" spans="1:10" ht="39.75" customHeight="1">
      <c r="A9" s="20"/>
      <c r="B9" s="20"/>
      <c r="C9" s="20"/>
      <c r="D9" s="7"/>
      <c r="E9" s="20"/>
      <c r="F9" s="7"/>
      <c r="G9" s="7"/>
      <c r="H9" s="7"/>
      <c r="I9" s="20"/>
      <c r="J9" s="20"/>
    </row>
    <row r="10" spans="1:10" ht="39.75" customHeight="1">
      <c r="A10" s="19"/>
      <c r="B10" s="19"/>
      <c r="C10" s="19"/>
      <c r="D10" s="5"/>
      <c r="E10" s="19"/>
      <c r="F10" s="5"/>
      <c r="G10" s="5"/>
      <c r="H10" s="5"/>
      <c r="I10" s="19"/>
      <c r="J10" s="19"/>
    </row>
    <row r="11" spans="1:10" ht="39.75" customHeight="1">
      <c r="A11" s="20"/>
      <c r="B11" s="20"/>
      <c r="C11" s="20"/>
      <c r="D11" s="7"/>
      <c r="E11" s="20"/>
      <c r="F11" s="7"/>
      <c r="G11" s="7"/>
      <c r="H11" s="7"/>
      <c r="I11" s="20"/>
      <c r="J11" s="20"/>
    </row>
    <row r="12" spans="1:10" ht="39.75" customHeight="1">
      <c r="A12" s="19"/>
      <c r="B12" s="19"/>
      <c r="C12" s="19"/>
      <c r="D12" s="5"/>
      <c r="E12" s="19"/>
      <c r="F12" s="5"/>
      <c r="G12" s="5"/>
      <c r="H12" s="5"/>
      <c r="I12" s="19"/>
      <c r="J12" s="19"/>
    </row>
    <row r="13" spans="1:10" ht="39.75" customHeight="1">
      <c r="A13" s="20"/>
      <c r="B13" s="20"/>
      <c r="C13" s="20"/>
      <c r="D13" s="7"/>
      <c r="E13" s="20"/>
      <c r="F13" s="7"/>
      <c r="G13" s="7"/>
      <c r="H13" s="7"/>
      <c r="I13" s="20"/>
      <c r="J13" s="20"/>
    </row>
    <row r="14" spans="1:10" ht="39.75" customHeight="1">
      <c r="A14" s="19"/>
      <c r="B14" s="19"/>
      <c r="C14" s="19"/>
      <c r="D14" s="5"/>
      <c r="E14" s="19"/>
      <c r="F14" s="5"/>
      <c r="G14" s="5"/>
      <c r="H14" s="5"/>
      <c r="I14" s="19"/>
      <c r="J14" s="19"/>
    </row>
    <row r="15" spans="1:10" ht="39.75" customHeight="1">
      <c r="A15" s="20"/>
      <c r="B15" s="20"/>
      <c r="C15" s="20"/>
      <c r="D15" s="7"/>
      <c r="E15" s="20"/>
      <c r="F15" s="7"/>
      <c r="G15" s="7"/>
      <c r="H15" s="7"/>
      <c r="I15" s="20"/>
      <c r="J15" s="20"/>
    </row>
    <row r="16" spans="1:10" ht="39.75" customHeight="1">
      <c r="A16" s="19"/>
      <c r="B16" s="19"/>
      <c r="C16" s="19"/>
      <c r="D16" s="5"/>
      <c r="E16" s="19"/>
      <c r="F16" s="5"/>
      <c r="G16" s="5"/>
      <c r="H16" s="5"/>
      <c r="I16" s="19"/>
      <c r="J16" s="19"/>
    </row>
    <row r="17" spans="1:10" ht="39.75" customHeight="1">
      <c r="A17" s="20"/>
      <c r="B17" s="20"/>
      <c r="C17" s="20"/>
      <c r="D17" s="7"/>
      <c r="E17" s="20"/>
      <c r="F17" s="7"/>
      <c r="G17" s="7"/>
      <c r="H17" s="7"/>
      <c r="I17" s="20"/>
      <c r="J17" s="20"/>
    </row>
    <row r="18" spans="1:10" ht="39.75" customHeight="1">
      <c r="A18" s="19"/>
      <c r="B18" s="19"/>
      <c r="C18" s="19"/>
      <c r="D18" s="5"/>
      <c r="E18" s="19"/>
      <c r="F18" s="5"/>
      <c r="G18" s="5"/>
      <c r="H18" s="5"/>
      <c r="I18" s="19"/>
      <c r="J18" s="19"/>
    </row>
    <row r="19" spans="1:10" ht="39.75" customHeight="1">
      <c r="A19" s="20"/>
      <c r="B19" s="20"/>
      <c r="C19" s="20"/>
      <c r="D19" s="7"/>
      <c r="E19" s="20"/>
      <c r="F19" s="7"/>
      <c r="G19" s="7"/>
      <c r="H19" s="7"/>
      <c r="I19" s="20"/>
      <c r="J19" s="20"/>
    </row>
    <row r="20" spans="1:10" ht="39.75" customHeight="1">
      <c r="A20" s="19"/>
      <c r="B20" s="19"/>
      <c r="C20" s="19"/>
      <c r="D20" s="5"/>
      <c r="E20" s="19"/>
      <c r="F20" s="5"/>
      <c r="G20" s="5"/>
      <c r="H20" s="5"/>
      <c r="I20" s="19"/>
      <c r="J20" s="19"/>
    </row>
    <row r="21" spans="1:10" ht="39.75" customHeight="1">
      <c r="A21" s="20"/>
      <c r="B21" s="20"/>
      <c r="C21" s="20"/>
      <c r="D21" s="7"/>
      <c r="E21" s="20"/>
      <c r="F21" s="7"/>
      <c r="G21" s="7"/>
      <c r="H21" s="7"/>
      <c r="I21" s="20"/>
      <c r="J21" s="20"/>
    </row>
    <row r="22" spans="1:10" ht="39.75" customHeight="1">
      <c r="A22" s="19"/>
      <c r="B22" s="19"/>
      <c r="C22" s="19"/>
      <c r="D22" s="5"/>
      <c r="E22" s="19"/>
      <c r="F22" s="5"/>
      <c r="G22" s="5"/>
      <c r="H22" s="5"/>
      <c r="I22" s="19"/>
      <c r="J22" s="19"/>
    </row>
    <row r="23" spans="1:10" ht="39.75" customHeight="1">
      <c r="A23" s="20"/>
      <c r="B23" s="20"/>
      <c r="C23" s="20"/>
      <c r="D23" s="7"/>
      <c r="E23" s="20"/>
      <c r="F23" s="7"/>
      <c r="G23" s="7"/>
      <c r="H23" s="7"/>
      <c r="I23" s="20"/>
      <c r="J23" s="20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A5276"/>
  </sheetPr>
  <dimension ref="A1:I12"/>
  <sheetViews>
    <sheetView zoomScaleNormal="100" workbookViewId="0"/>
  </sheetViews>
  <sheetFormatPr defaultColWidth="8.7109375" defaultRowHeight="15"/>
  <cols>
    <col min="1" max="1" width="22" customWidth="1"/>
    <col min="2" max="2" width="26" customWidth="1"/>
    <col min="3" max="3" width="36" customWidth="1"/>
    <col min="4" max="4" width="10" customWidth="1"/>
    <col min="5" max="6" width="14" customWidth="1"/>
    <col min="7" max="7" width="18" customWidth="1"/>
    <col min="8" max="8" width="16" customWidth="1"/>
    <col min="9" max="9" width="25" customWidth="1"/>
  </cols>
  <sheetData>
    <row r="1" spans="1:9" ht="24" customHeight="1">
      <c r="A1" s="1" t="s">
        <v>303</v>
      </c>
    </row>
    <row r="2" spans="1:9" ht="3.75" customHeight="1"/>
    <row r="3" spans="1:9" ht="21.75" customHeight="1">
      <c r="A3" s="4" t="s">
        <v>304</v>
      </c>
      <c r="B3" s="4" t="s">
        <v>305</v>
      </c>
      <c r="C3" s="4" t="s">
        <v>306</v>
      </c>
      <c r="D3" s="4" t="s">
        <v>307</v>
      </c>
      <c r="E3" s="4" t="s">
        <v>308</v>
      </c>
      <c r="F3" s="4" t="s">
        <v>309</v>
      </c>
      <c r="G3" s="4" t="s">
        <v>310</v>
      </c>
      <c r="H3" s="4" t="s">
        <v>311</v>
      </c>
      <c r="I3" s="4" t="s">
        <v>312</v>
      </c>
    </row>
    <row r="4" spans="1:9" ht="39.75" customHeight="1">
      <c r="A4" s="21" t="s">
        <v>231</v>
      </c>
      <c r="B4" s="5" t="s">
        <v>313</v>
      </c>
      <c r="C4" s="5" t="s">
        <v>314</v>
      </c>
      <c r="D4" s="16"/>
      <c r="E4" s="16"/>
      <c r="F4" s="16"/>
      <c r="G4" s="16"/>
      <c r="H4" s="16"/>
      <c r="I4" s="5"/>
    </row>
    <row r="5" spans="1:9" ht="39.75" customHeight="1">
      <c r="A5" s="22" t="s">
        <v>237</v>
      </c>
      <c r="B5" s="7" t="s">
        <v>315</v>
      </c>
      <c r="C5" s="7" t="s">
        <v>316</v>
      </c>
      <c r="D5" s="12"/>
      <c r="E5" s="12"/>
      <c r="F5" s="12"/>
      <c r="G5" s="12"/>
      <c r="H5" s="12"/>
      <c r="I5" s="7"/>
    </row>
    <row r="6" spans="1:9" ht="39.75" customHeight="1">
      <c r="A6" s="21" t="s">
        <v>243</v>
      </c>
      <c r="B6" s="5" t="s">
        <v>317</v>
      </c>
      <c r="C6" s="5" t="s">
        <v>318</v>
      </c>
      <c r="D6" s="16"/>
      <c r="E6" s="16"/>
      <c r="F6" s="16"/>
      <c r="G6" s="16"/>
      <c r="H6" s="16"/>
      <c r="I6" s="5"/>
    </row>
    <row r="7" spans="1:9" ht="39.75" customHeight="1">
      <c r="A7" s="22" t="s">
        <v>133</v>
      </c>
      <c r="B7" s="7" t="s">
        <v>319</v>
      </c>
      <c r="C7" s="7" t="s">
        <v>320</v>
      </c>
      <c r="D7" s="12"/>
      <c r="E7" s="12"/>
      <c r="F7" s="12"/>
      <c r="G7" s="12"/>
      <c r="H7" s="12"/>
      <c r="I7" s="7"/>
    </row>
    <row r="8" spans="1:9" ht="39.75" customHeight="1">
      <c r="A8" s="21" t="s">
        <v>193</v>
      </c>
      <c r="B8" s="5" t="s">
        <v>321</v>
      </c>
      <c r="C8" s="5" t="s">
        <v>322</v>
      </c>
      <c r="D8" s="16"/>
      <c r="E8" s="16"/>
      <c r="F8" s="16"/>
      <c r="G8" s="16"/>
      <c r="H8" s="16"/>
      <c r="I8" s="5"/>
    </row>
    <row r="9" spans="1:9" ht="39.75" customHeight="1">
      <c r="A9" s="22" t="s">
        <v>259</v>
      </c>
      <c r="B9" s="7" t="s">
        <v>323</v>
      </c>
      <c r="C9" s="7" t="s">
        <v>324</v>
      </c>
      <c r="D9" s="12"/>
      <c r="E9" s="12"/>
      <c r="F9" s="12"/>
      <c r="G9" s="12"/>
      <c r="H9" s="12"/>
      <c r="I9" s="7"/>
    </row>
    <row r="10" spans="1:9" ht="39.75" customHeight="1">
      <c r="A10" s="21" t="s">
        <v>84</v>
      </c>
      <c r="B10" s="5" t="s">
        <v>325</v>
      </c>
      <c r="C10" s="5" t="s">
        <v>326</v>
      </c>
      <c r="D10" s="16"/>
      <c r="E10" s="16"/>
      <c r="F10" s="16"/>
      <c r="G10" s="16"/>
      <c r="H10" s="16"/>
      <c r="I10" s="5"/>
    </row>
    <row r="11" spans="1:9" ht="39.75" customHeight="1">
      <c r="A11" s="22" t="s">
        <v>270</v>
      </c>
      <c r="B11" s="7" t="s">
        <v>327</v>
      </c>
      <c r="C11" s="7" t="s">
        <v>328</v>
      </c>
      <c r="D11" s="12"/>
      <c r="E11" s="12"/>
      <c r="F11" s="12"/>
      <c r="G11" s="12"/>
      <c r="H11" s="12"/>
      <c r="I11" s="7"/>
    </row>
    <row r="12" spans="1:9" ht="39.75" customHeight="1">
      <c r="A12" s="21" t="s">
        <v>276</v>
      </c>
      <c r="B12" s="5" t="s">
        <v>329</v>
      </c>
      <c r="C12" s="5" t="s">
        <v>330</v>
      </c>
      <c r="D12" s="16"/>
      <c r="E12" s="16"/>
      <c r="F12" s="16"/>
      <c r="G12" s="16"/>
      <c r="H12" s="16"/>
      <c r="I12" s="5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Guest User</cp:lastModifiedBy>
  <cp:revision>0</cp:revision>
  <dcterms:created xsi:type="dcterms:W3CDTF">2026-05-31T22:26:08Z</dcterms:created>
  <dcterms:modified xsi:type="dcterms:W3CDTF">2026-06-01T23:22:22Z</dcterms:modified>
  <cp:category/>
  <cp:contentStatus/>
</cp:coreProperties>
</file>